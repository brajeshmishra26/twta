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72" windowWidth="12516" windowHeight="5268"/>
  </bookViews>
  <sheets>
    <sheet name="PAY" sheetId="1" r:id="rId1"/>
    <sheet name="DEDUCTION" sheetId="2" r:id="rId2"/>
    <sheet name="OLD TAX PLAN " sheetId="3" r:id="rId3"/>
    <sheet name="NEW PLAN " sheetId="4" r:id="rId4"/>
    <sheet name="Sheet1" sheetId="5" r:id="rId5"/>
  </sheets>
  <calcPr calcId="124519"/>
</workbook>
</file>

<file path=xl/calcChain.xml><?xml version="1.0" encoding="utf-8"?>
<calcChain xmlns="http://schemas.openxmlformats.org/spreadsheetml/2006/main">
  <c r="O31" i="3"/>
  <c r="H8" i="1"/>
  <c r="L8" s="1"/>
  <c r="H23"/>
  <c r="L23" s="1"/>
  <c r="H22"/>
  <c r="L22" s="1"/>
  <c r="H21"/>
  <c r="L21" s="1"/>
  <c r="H20"/>
  <c r="L20" s="1"/>
  <c r="H19"/>
  <c r="L19" s="1"/>
  <c r="H18"/>
  <c r="L18" s="1"/>
  <c r="H17"/>
  <c r="L17" s="1"/>
  <c r="H16"/>
  <c r="L16" s="1"/>
  <c r="H15"/>
  <c r="L15" s="1"/>
  <c r="H14"/>
  <c r="L14" s="1"/>
  <c r="H13"/>
  <c r="L13" s="1"/>
  <c r="H12"/>
  <c r="L12" s="1"/>
  <c r="H11"/>
  <c r="L11" s="1"/>
  <c r="H10"/>
  <c r="L10" s="1"/>
  <c r="H9"/>
  <c r="L9" s="1"/>
  <c r="H7"/>
  <c r="L7" s="1"/>
  <c r="A3" i="2" l="1"/>
  <c r="O7" i="1"/>
  <c r="O8"/>
  <c r="O11"/>
  <c r="O12"/>
  <c r="O13"/>
  <c r="O15"/>
  <c r="O16"/>
  <c r="O17"/>
  <c r="O19"/>
  <c r="O20"/>
  <c r="O21"/>
  <c r="O41" i="3"/>
  <c r="N28"/>
  <c r="N21"/>
  <c r="H25"/>
  <c r="O9" i="1"/>
  <c r="O10"/>
  <c r="O14"/>
  <c r="O18"/>
  <c r="O22"/>
  <c r="K3" i="3"/>
  <c r="C3" i="2"/>
  <c r="B27" i="1"/>
  <c r="O43" i="3"/>
  <c r="O42"/>
  <c r="O32"/>
  <c r="N3" l="1"/>
  <c r="O40"/>
  <c r="H20" l="1"/>
  <c r="G13"/>
  <c r="N24" i="1"/>
  <c r="E9" i="2" s="1"/>
  <c r="M24" i="1"/>
  <c r="B6" i="2" s="1"/>
  <c r="L8" i="3" s="1"/>
  <c r="K24" i="1"/>
  <c r="B22" i="2" s="1"/>
  <c r="H26" i="3" s="1"/>
  <c r="J24" i="1"/>
  <c r="H24"/>
  <c r="G24"/>
  <c r="F24"/>
  <c r="E24"/>
  <c r="D24"/>
  <c r="C24"/>
  <c r="O4" i="3" l="1"/>
  <c r="I5" i="4"/>
  <c r="H24" i="3"/>
  <c r="H22"/>
  <c r="N26"/>
  <c r="N27"/>
  <c r="N25"/>
  <c r="O59" l="1"/>
  <c r="N62" l="1"/>
  <c r="K62"/>
  <c r="I62"/>
  <c r="E62"/>
  <c r="L62"/>
  <c r="O39"/>
  <c r="O38"/>
  <c r="O37"/>
  <c r="O36"/>
  <c r="O35"/>
  <c r="N20"/>
  <c r="N22"/>
  <c r="N23"/>
  <c r="N24"/>
  <c r="H28"/>
  <c r="H27"/>
  <c r="H23"/>
  <c r="H21"/>
  <c r="O16"/>
  <c r="J13"/>
  <c r="L11"/>
  <c r="L7"/>
  <c r="O5"/>
  <c r="O62" l="1"/>
  <c r="O44"/>
  <c r="D13"/>
  <c r="L13" s="1"/>
  <c r="O14" s="1"/>
  <c r="K68" l="1"/>
  <c r="D3"/>
  <c r="K67" s="1"/>
  <c r="A1"/>
  <c r="A2" i="2"/>
  <c r="E3"/>
  <c r="B24" i="1"/>
  <c r="E5" i="2" s="1"/>
  <c r="O23" i="1"/>
  <c r="B26"/>
  <c r="I24" l="1"/>
  <c r="L24" s="1"/>
  <c r="N29" i="3"/>
  <c r="O30" s="1"/>
  <c r="I11" i="4" l="1"/>
  <c r="O6" i="3"/>
  <c r="L9" s="1"/>
  <c r="O9" s="1"/>
  <c r="O10" s="1"/>
  <c r="O15" s="1"/>
  <c r="O17" s="1"/>
  <c r="O33"/>
  <c r="O45" s="1"/>
  <c r="O24" i="1"/>
  <c r="E13" i="2"/>
  <c r="E18"/>
  <c r="I12" i="4" l="1"/>
  <c r="I14"/>
  <c r="I10"/>
  <c r="I9"/>
  <c r="I13"/>
  <c r="I8"/>
  <c r="O46" i="3"/>
  <c r="O47" s="1"/>
  <c r="O53" l="1"/>
  <c r="I15" i="4"/>
  <c r="E7" i="2"/>
  <c r="O51" i="3"/>
  <c r="O52"/>
  <c r="O54" l="1"/>
  <c r="O55" l="1"/>
  <c r="O56" s="1"/>
  <c r="O57" s="1"/>
  <c r="O58" s="1"/>
  <c r="O60" s="1"/>
  <c r="O63" s="1"/>
  <c r="E22" i="2" l="1"/>
</calcChain>
</file>

<file path=xl/sharedStrings.xml><?xml version="1.0" encoding="utf-8"?>
<sst xmlns="http://schemas.openxmlformats.org/spreadsheetml/2006/main" count="231" uniqueCount="207">
  <si>
    <t>NAME :</t>
  </si>
  <si>
    <t>PAN :</t>
  </si>
  <si>
    <t>Month</t>
  </si>
  <si>
    <t>Bill No. &amp; T.V. No.</t>
  </si>
  <si>
    <t>Salary Arrear 1</t>
  </si>
  <si>
    <t>Salary Arrear 2</t>
  </si>
  <si>
    <t>Salary Arrear 3</t>
  </si>
  <si>
    <t xml:space="preserve">Other </t>
  </si>
  <si>
    <t>TOTAL</t>
  </si>
  <si>
    <t>Taxable Amt</t>
  </si>
  <si>
    <t>Tax Deposited</t>
  </si>
  <si>
    <t>Rebate Under Section
80C, 80CCC, 80CCD(1)</t>
  </si>
  <si>
    <t>Income Tax Payable</t>
  </si>
  <si>
    <t xml:space="preserve">                                                           'ks"k ¼4&amp;5½</t>
  </si>
  <si>
    <t>(i)</t>
  </si>
  <si>
    <t>(x)</t>
  </si>
  <si>
    <t>(ii)</t>
  </si>
  <si>
    <t>(xi)</t>
  </si>
  <si>
    <t>(iii)</t>
  </si>
  <si>
    <t>(xii)</t>
  </si>
  <si>
    <t>(iv)</t>
  </si>
  <si>
    <t>(xiii)</t>
  </si>
  <si>
    <t>(v)</t>
  </si>
  <si>
    <t>(xiv)</t>
  </si>
  <si>
    <t>(vi)</t>
  </si>
  <si>
    <t>(xv)</t>
  </si>
  <si>
    <t>(vii)</t>
  </si>
  <si>
    <t>(xvi)</t>
  </si>
  <si>
    <t>(viii)</t>
  </si>
  <si>
    <t>(xvii)</t>
  </si>
  <si>
    <t>(ix)</t>
  </si>
  <si>
    <t>(xviii)</t>
  </si>
  <si>
    <t>Nil</t>
  </si>
  <si>
    <t>2,50,001-5,00,000</t>
  </si>
  <si>
    <t>3,00,001-5,00,000</t>
  </si>
  <si>
    <t>5,00,001-10,00,000</t>
  </si>
  <si>
    <t xml:space="preserve">Pay </t>
  </si>
  <si>
    <t xml:space="preserve">Grad Pay </t>
  </si>
  <si>
    <t>H.R.</t>
  </si>
  <si>
    <t>Con.Allo./
Disability All.</t>
  </si>
  <si>
    <t>Total</t>
  </si>
  <si>
    <t>G.P.F/
NPS</t>
  </si>
  <si>
    <t>G.I.S</t>
  </si>
  <si>
    <t>Net</t>
  </si>
  <si>
    <t xml:space="preserve">Pro. Tax </t>
  </si>
  <si>
    <t>Income 
Tax</t>
  </si>
  <si>
    <t>Net 
Amount</t>
  </si>
  <si>
    <t>8 जीवन बीमा प्रीमियम  (एलआईसी)</t>
  </si>
  <si>
    <t xml:space="preserve">11 ULIP/वार्षिक प्लान </t>
  </si>
  <si>
    <t>9  पी.एल.आई. (PLI)</t>
  </si>
  <si>
    <r>
      <t xml:space="preserve">10  शिक्षण शुल्क l </t>
    </r>
    <r>
      <rPr>
        <sz val="11"/>
        <rFont val="Aparajita"/>
        <family val="2"/>
      </rPr>
      <t>(Tution Fees)</t>
    </r>
  </si>
  <si>
    <t>7  गृह ऋण का -ब्याज (जो वेतन से नहीं काटा गया)</t>
  </si>
  <si>
    <t>6  गृह ऋण का -मूल (जो वेतन से नहीं काटा गया)</t>
  </si>
  <si>
    <t>5  गृहकर</t>
  </si>
  <si>
    <t xml:space="preserve">4  गृह संपत्ति से  आय - किराया </t>
  </si>
  <si>
    <t xml:space="preserve">2  मनोरंजन  भत्ता  धारा 16(ii) अंतर्गत </t>
  </si>
  <si>
    <t>1  मकान किराया भत्ता (जो छूट प्राप्त करना है )</t>
  </si>
  <si>
    <t>12  राष्ट्रीय बचत पत्र (NSC)</t>
  </si>
  <si>
    <t xml:space="preserve">13  राष्ट्रीय बचत पत्र पर प्राप्त ब्याज </t>
  </si>
  <si>
    <t>14  लोक भविष्य निधी (PPF)</t>
  </si>
  <si>
    <r>
      <t xml:space="preserve">16 सुकन्या समृद्धि योजना मे जमा </t>
    </r>
    <r>
      <rPr>
        <sz val="11"/>
        <rFont val="Aparajita"/>
        <family val="2"/>
      </rPr>
      <t>(SSY)</t>
    </r>
  </si>
  <si>
    <t>15  राष्ट्रीय बचत योजना  (NSS)</t>
  </si>
  <si>
    <r>
      <rPr>
        <b/>
        <sz val="20"/>
        <rFont val="Aparajita"/>
        <family val="2"/>
      </rPr>
      <t xml:space="preserve">वेतन के अतिरिक्त कटौतियाँ ,आय / जमा राशी एवं छूट का विवरण </t>
    </r>
    <r>
      <rPr>
        <b/>
        <sz val="20"/>
        <rFont val="DevLys 010"/>
      </rPr>
      <t xml:space="preserve"> </t>
    </r>
  </si>
  <si>
    <t>AADHAR :</t>
  </si>
  <si>
    <t>Oth.Allo.</t>
  </si>
  <si>
    <t xml:space="preserve">राज्य बीमा </t>
  </si>
  <si>
    <t xml:space="preserve">जीवन बीमा प्रीमियम  </t>
  </si>
  <si>
    <t>राष्ट्रीय बचत पत्र (NSC)</t>
  </si>
  <si>
    <t>लोक भविष्य निधी (PPF)</t>
  </si>
  <si>
    <t>राष्ट्रीय बचत योजना (NSS)</t>
  </si>
  <si>
    <t xml:space="preserve">सामान्य भविष्य निधी (GPF) </t>
  </si>
  <si>
    <t>समूह बीमा प्रीमियम (GIS)</t>
  </si>
  <si>
    <t xml:space="preserve">ULIP/वार्षिक प्लान </t>
  </si>
  <si>
    <t>गृह ऋण किश्त (मूलधन)</t>
  </si>
  <si>
    <t>सरकारी पेंशन योजना मे अंशदान ECPF</t>
  </si>
  <si>
    <t xml:space="preserve">राष्ट्रीय बचत पत्र पर प्राप्त ब्याज </t>
  </si>
  <si>
    <t xml:space="preserve">शिक्षण शुल्क </t>
  </si>
  <si>
    <t>म्यूचुअल फंड ELSS</t>
  </si>
  <si>
    <t>पी.एल.आई. (PLI)</t>
  </si>
  <si>
    <t>सुकन्या समृद्धि योजना मे जमा</t>
  </si>
  <si>
    <t>80 C अंतर्गत अन्य निवेश</t>
  </si>
  <si>
    <t>योग  ( i से xviii )</t>
  </si>
  <si>
    <t>2- धारा 80 DD  दिव्यांग आश्रित के इलाज का खर्च का खर्च
40% से 80%तक दिव्यांग 75000/- 80% से अधिक दिव्यांग 125000/-</t>
  </si>
  <si>
    <t xml:space="preserve">4- धारा 80 E उच्च शिक्षा ऋण के ब्याज को 8 वर्ष तक मुक्त किया गया है  </t>
  </si>
  <si>
    <t>5- धारा 80 G राष्ट्रिय,धर्मिक ,परमार्थ एवं सामाजिक कार्य हेतु दान राशी 50% से 100% कर मुक्त (आयकर विभाग की सूची अनुसार)</t>
  </si>
  <si>
    <t>रु.</t>
  </si>
  <si>
    <t xml:space="preserve">अन्य कटौतियाँ </t>
  </si>
  <si>
    <t xml:space="preserve">अन्य आय </t>
  </si>
  <si>
    <t xml:space="preserve"> सकल आय                 																				                                                                                                                                                         योग (8+9)  </t>
  </si>
  <si>
    <t xml:space="preserve"> किराये का 30 %</t>
  </si>
  <si>
    <t xml:space="preserve">गृह ऋण पर ब्याज </t>
  </si>
  <si>
    <t>गृहकर</t>
  </si>
  <si>
    <t>योग 7 (ब)</t>
  </si>
  <si>
    <t>(ब) घटाये</t>
  </si>
  <si>
    <t xml:space="preserve">(अ) गृह संपत्ति से  आय (1) स्वय के उपयोग मे -शून्य </t>
  </si>
  <si>
    <t xml:space="preserve">(2) किराया से आय </t>
  </si>
  <si>
    <t xml:space="preserve"> (i) मनोरंजन भत्ता धारा 16 (ii) अंतर्गत  (अधिकतम सीमा रु 5000)</t>
  </si>
  <si>
    <t>(ii) वृति कर 16 (iii)</t>
  </si>
  <si>
    <t>कर्मचारी का नाम</t>
  </si>
  <si>
    <t>पद</t>
  </si>
  <si>
    <t>PAN</t>
  </si>
  <si>
    <t xml:space="preserve">(A) अधिकतम सीमा 1,50,000/- (धारा 80CCE) ,(धारा 80 CCD (2))  के अलावा  </t>
  </si>
  <si>
    <t xml:space="preserve">(B) घटाइये-धारा 80CCD (2) नियोक्ता द्वारा पेंशन अंशदान की राशि  (अधिकतम वेतन का 10% ) पृथक से छूट  </t>
  </si>
  <si>
    <t>नवीन पेंशन प्लान हेतु अंशदान 80CCD1</t>
  </si>
  <si>
    <t xml:space="preserve">आयकर की गणना उपरोक्त कॉलम 15 के आधार पर </t>
  </si>
  <si>
    <t xml:space="preserve">एक व्यक्ति कर दाता </t>
  </si>
  <si>
    <t>वरिष्ठ नागरिक ( 60 से 80 वर्ष तक )</t>
  </si>
  <si>
    <t xml:space="preserve">80 वर्ष या अधिक आयु </t>
  </si>
  <si>
    <t>(3)  शेष आयकर  (1-2)</t>
  </si>
  <si>
    <t xml:space="preserve">(4)  शिक्षा उपकर 2 % एवं उच्च शिक्षा के लिए अधिभार 2 % ( योग 4 %)  </t>
  </si>
  <si>
    <t xml:space="preserve">(1)  योग आयकर </t>
  </si>
  <si>
    <t xml:space="preserve">घटाइये  राहत धारा 89 के तहत </t>
  </si>
  <si>
    <t xml:space="preserve">कुल  शेष  आयकर </t>
  </si>
  <si>
    <t xml:space="preserve">आयकर कटौती का विवरण </t>
  </si>
  <si>
    <t>TDS रुपए</t>
  </si>
  <si>
    <t>योग कालम 19</t>
  </si>
  <si>
    <t xml:space="preserve">(iii) स्टेन्डर्ड  डीडक्शन (50000) केवल वेतनभोगी नागरीक के लिए </t>
  </si>
  <si>
    <t xml:space="preserve">3  व्यवसाय /वृत्ती कर धारा 16 (iii) अंतर्गत </t>
  </si>
  <si>
    <t>17 सामान्य भविष्य निधि  (GPF)</t>
  </si>
  <si>
    <t>Desig :</t>
  </si>
  <si>
    <t>Account:</t>
  </si>
  <si>
    <t>IFSC:</t>
  </si>
  <si>
    <r>
      <rPr>
        <sz val="11"/>
        <rFont val="Aparajita"/>
        <family val="2"/>
      </rPr>
      <t xml:space="preserve">गृह किराया धारा 10 (13-A)  के अंतर्गत एवं धारा 10 (14)  के अंतर्गत  अन्य भत्ते  जो कर मुक्त हैं    </t>
    </r>
    <r>
      <rPr>
        <sz val="12"/>
        <rFont val="DevLys 010"/>
      </rPr>
      <t/>
    </r>
  </si>
  <si>
    <r>
      <rPr>
        <sz val="11"/>
        <rFont val="Aparajita"/>
        <family val="2"/>
      </rPr>
      <t>शेष (2-3)</t>
    </r>
    <r>
      <rPr>
        <sz val="11"/>
        <rFont val="DevLys 010"/>
      </rPr>
      <t xml:space="preserve">                                                            </t>
    </r>
  </si>
  <si>
    <r>
      <t xml:space="preserve">                         </t>
    </r>
    <r>
      <rPr>
        <sz val="11"/>
        <rFont val="Aparajita"/>
        <family val="2"/>
      </rPr>
      <t xml:space="preserve"> शेष -/+(7(अ) एवं योग   7(ब) का)</t>
    </r>
    <r>
      <rPr>
        <sz val="11"/>
        <rFont val="DevLys 010"/>
      </rPr>
      <t xml:space="preserve">          </t>
    </r>
  </si>
  <si>
    <r>
      <rPr>
        <sz val="11"/>
        <rFont val="Aparajita"/>
        <family val="2"/>
      </rPr>
      <t xml:space="preserve">                                 कुल शेष  -/+ (6 एवं 7)                      </t>
    </r>
    <r>
      <rPr>
        <sz val="11"/>
        <rFont val="DevLys 010"/>
      </rPr>
      <t xml:space="preserve">       </t>
    </r>
  </si>
  <si>
    <t>घटाइए कटौतियाँ : - धारा US (80C, 80CCC,80CCD (1))</t>
  </si>
  <si>
    <t>स्थगित वार्षिकी (Defferred Annuty)</t>
  </si>
  <si>
    <r>
      <rPr>
        <sz val="11"/>
        <rFont val="Aparajita"/>
        <family val="2"/>
      </rPr>
      <t xml:space="preserve">अधिकतम कटौति की राशी 150000/- लाख रुपए तक           </t>
    </r>
    <r>
      <rPr>
        <sz val="11"/>
        <rFont val="DevLys 010"/>
      </rPr>
      <t xml:space="preserve">       </t>
    </r>
  </si>
  <si>
    <r>
      <t>(C</t>
    </r>
    <r>
      <rPr>
        <sz val="11"/>
        <rFont val="Aparajita"/>
        <family val="2"/>
      </rPr>
      <t xml:space="preserve">) (B) धारा 80 CCD 1 (B) वेतन  एवं नियोक्ता के अंशदान के अतिरिक्त 50000 तक का निवेश  </t>
    </r>
  </si>
  <si>
    <r>
      <rPr>
        <sz val="11"/>
        <rFont val="Aparajita"/>
        <family val="2"/>
      </rPr>
      <t xml:space="preserve"> योग  11 (A+B+C)</t>
    </r>
    <r>
      <rPr>
        <sz val="11"/>
        <rFont val="Arial"/>
        <family val="2"/>
      </rPr>
      <t xml:space="preserve">    </t>
    </r>
  </si>
  <si>
    <t>कुल कटौती   ( 11 + 12)</t>
  </si>
  <si>
    <t>कर योग्य आय  ( 10 - 13 )</t>
  </si>
  <si>
    <r>
      <rPr>
        <b/>
        <sz val="11"/>
        <rFont val="Aparajita"/>
        <family val="2"/>
      </rPr>
      <t>कुल आय  की राशी को सम्पूर्ण करना ( दस के गुणांक में ) धारा 288 A</t>
    </r>
    <r>
      <rPr>
        <b/>
        <sz val="11"/>
        <rFont val="DevLys 010"/>
      </rPr>
      <t xml:space="preserve"> </t>
    </r>
  </si>
  <si>
    <r>
      <t xml:space="preserve">2,50,000 </t>
    </r>
    <r>
      <rPr>
        <sz val="11"/>
        <rFont val="DevLys 010"/>
      </rPr>
      <t>rd</t>
    </r>
  </si>
  <si>
    <r>
      <t xml:space="preserve">3,00,000 </t>
    </r>
    <r>
      <rPr>
        <sz val="11"/>
        <rFont val="DevLys 010"/>
      </rPr>
      <t>rd</t>
    </r>
  </si>
  <si>
    <r>
      <t xml:space="preserve">5,00,000 </t>
    </r>
    <r>
      <rPr>
        <sz val="11"/>
        <rFont val="DevLys 010"/>
      </rPr>
      <t>rd</t>
    </r>
  </si>
  <si>
    <r>
      <rPr>
        <sz val="11"/>
        <rFont val="Calibri"/>
        <family val="2"/>
        <scheme val="minor"/>
      </rPr>
      <t>10,00,000</t>
    </r>
    <r>
      <rPr>
        <sz val="11"/>
        <rFont val="DevLys 010"/>
      </rPr>
      <t xml:space="preserve"> ls vf/kd</t>
    </r>
  </si>
  <si>
    <r>
      <t xml:space="preserve">10,00,000 </t>
    </r>
    <r>
      <rPr>
        <sz val="11"/>
        <rFont val="DevLys 010"/>
      </rPr>
      <t>ls vf/kd</t>
    </r>
  </si>
  <si>
    <r>
      <rPr>
        <b/>
        <sz val="11"/>
        <rFont val="Aparajita"/>
        <family val="2"/>
      </rPr>
      <t>(2)</t>
    </r>
    <r>
      <rPr>
        <sz val="11"/>
        <rFont val="Aparajita"/>
        <family val="2"/>
      </rPr>
      <t xml:space="preserve">  छूट धारा 87(A) (2.50 लाख से 5.00 लाख तक की कर योग्य आय पर आयकर की छूट अधिकतम रु 12500 तक )</t>
    </r>
  </si>
  <si>
    <r>
      <t xml:space="preserve">                                                          </t>
    </r>
    <r>
      <rPr>
        <b/>
        <sz val="11"/>
        <rFont val="Aparajita"/>
        <family val="2"/>
      </rPr>
      <t>कुल आयकर  (3+4)</t>
    </r>
  </si>
  <si>
    <t xml:space="preserve">D.A.
</t>
  </si>
  <si>
    <t>18 राज्य बीमा</t>
  </si>
  <si>
    <t xml:space="preserve">7- धारा 80 GGA  वैज्ञानिक ,सामाजिक एवं ग्रामीण विकास हेतु दिया गया दान योग </t>
  </si>
  <si>
    <t>8- धारा 80 U दिव्यांग व्यक्ति को इलाज खर्च की छुट 40 प्रतिशत तक दिव्यांग 75000/- 40 प्रतिशत से अधिक दिव्यांग 125000/-</t>
  </si>
  <si>
    <t xml:space="preserve">9- धारा 80 TTA बचत खाते का ब्याज 10000/- तक कर मुक्त उसके बाद कर योग्य  80TTB वरिष्ठ नागरिको के लिए 50000/- उसके बाद कर योग्य </t>
  </si>
  <si>
    <t>योग  12 (1 से 9 तक)</t>
  </si>
  <si>
    <t>6-धारा 80 GG यदि वेतन में गृह भाडा भत्ता नहीं मिलता है  या वर्ष मे कभी भी गृह  भाड़ा भत्ता नहीं  मिला है ।</t>
  </si>
  <si>
    <r>
      <t xml:space="preserve">ट्रायबल विभाग के शिक्षकों का संगठन " ट्रायबल वेल्फेयर टीचर्स एसोसिएशन " मध्य प्रदेश के सभी शिक्षकों के सहयोग के लिए  निर्मित हमारी वेब साइट  </t>
    </r>
    <r>
      <rPr>
        <u/>
        <sz val="20"/>
        <color theme="1"/>
        <rFont val="Aparajita"/>
        <family val="2"/>
      </rPr>
      <t xml:space="preserve">www.twtamp.in  </t>
    </r>
    <r>
      <rPr>
        <sz val="16"/>
        <color theme="1"/>
        <rFont val="Aparajita"/>
        <family val="2"/>
      </rPr>
      <t>का अवलोकन अवश्य करें</t>
    </r>
  </si>
  <si>
    <t>19 समूह बीमा प्रीमियम (GIS)</t>
  </si>
  <si>
    <t xml:space="preserve">20  धारा 80 TTA बचत खाते का ब्याज 10000/- तक कर मुक्त उसके बाद कर योग्य  80TTB वरिष्ठ नागरिको के लिए 50000/- उसके बाद कर योग्य t (80 TTA/80 TTB) </t>
  </si>
  <si>
    <t>21 अन्य आय (FD पर ब्याज ,अन्य ब्याज  या अन्य स्त्रोत से आय )</t>
  </si>
  <si>
    <t xml:space="preserve">22 अन्य जमा  राशि (80C अंतर्गत) </t>
  </si>
  <si>
    <t xml:space="preserve">24 धारा 80 CCD 1 (B) वेतन  एवं नियोक्ता के अंशदान के अतिरिक्त 50000 तक का निवेश  </t>
  </si>
  <si>
    <t>25 धारा 80 D  मेडिक्लेम पालिसी (स्वय,जीवन साथी,बच्चों की 25000/-) आश्रित मातापिता का मेडिक्लेम 50000/-</t>
  </si>
  <si>
    <t>26 धारा 80 DD  दिव्यांग आश्रित के इलाज का खर्च का खर्च
40% से  79 % तक दिव्यांग 75000/- 80% से अधिक दिव्यांग 125000/-</t>
  </si>
  <si>
    <t xml:space="preserve">27 धारा 80DDB वीनिर्दिष्ट बीमारियों मे स्वयं या आश्रीत का इलाज का खर्च 40000/-, 60 से अधिक आयु वर्ग के लिए 100000/- </t>
  </si>
  <si>
    <t xml:space="preserve">28 धारा 80 E उच्च शिक्षा ऋण के ब्याज को 8 वर्ष तक मुक्त किया गया है  </t>
  </si>
  <si>
    <t>29 धारा 80 G राष्ट्रिय,धर्मिक ,परमार्थ एवं सामाजिक कार्य हेतु दान राशी 50% से 100% कर मुक्त (आयकर विभाग की सूची अनुसार)</t>
  </si>
  <si>
    <t>30 धारा 80 U दिव्यांग व्यक्ति को  छुट  75000/- 80  प्रतिशत दिव्यांग 125000/-</t>
  </si>
  <si>
    <t xml:space="preserve">31 धारा 80 GGA  वैज्ञानिक ,सामाजिक एवं ग्रामीण विकास हेतु दिया गया दान </t>
  </si>
  <si>
    <t>32  म्यूचुअल फंड / ELSS प्लान</t>
  </si>
  <si>
    <t>33 स्थगित वार्षिकी (Defferred Annuty)</t>
  </si>
  <si>
    <t xml:space="preserve">34 धारा 89 के तहत राहत </t>
  </si>
  <si>
    <r>
      <t xml:space="preserve">35 वेतन के अलावा जमा किया  गया आयकर   </t>
    </r>
    <r>
      <rPr>
        <sz val="10"/>
        <rFont val="Aparajita"/>
        <family val="2"/>
      </rPr>
      <t>(TDS)</t>
    </r>
  </si>
  <si>
    <t>36 सरकारी पेंशन योजना मे अंशदान ECPF</t>
  </si>
  <si>
    <t>37  नवीन पेंशन प्लान हेतु अंशदान 80CCD1</t>
  </si>
  <si>
    <t>38 धारा 80 GG यदि वेतन में गृह भाडा भत्ता नहीं मिलता है  या वर्ष मे कभी भी गृह  भाड़ा भत्ता नहीं  मिला है ।अधिकतम 60000 की छूट ,तीन शर्तों के साथ ।</t>
  </si>
  <si>
    <t>अन्य कटौतियाँ 80C, 80CCC, 80CCD(1) के अतिरिक्त</t>
  </si>
  <si>
    <t>1- धारा 80 D  मेडिक्लेम पालिसी (स्वय,जीवन साथी,बच्चों की 25000/-)
आश्रित मातापिता का मेडिक्लेम 50000/-</t>
  </si>
  <si>
    <r>
      <t xml:space="preserve">ट्रायबल विभाग के शिक्षकों का संगठन " ट्रायबल वेल्फेयर टीचर्स एसोसिएशन म.प्र. "  शिक्षकों के सहयोग के लिए  निर्मित हमारी वेब साइट  </t>
    </r>
    <r>
      <rPr>
        <b/>
        <u/>
        <sz val="11"/>
        <rFont val="Aparajita"/>
        <family val="2"/>
      </rPr>
      <t>www.twtamp.in</t>
    </r>
    <r>
      <rPr>
        <b/>
        <sz val="11"/>
        <rFont val="Aparajita"/>
        <family val="2"/>
      </rPr>
      <t xml:space="preserve">  का अवलोकन अवश्य करें</t>
    </r>
  </si>
  <si>
    <t xml:space="preserve">3- धारा 80DDB वीनिर्दिष्ट बीमारियों मे स्वयं या आश्रीत का इलाज का खर्च 60 से कम आयु वर्ग के लिए 40000/-, 60 से अधिक आयु वर्ग के लिए 100000/- </t>
  </si>
  <si>
    <t xml:space="preserve">नवीन आयकर नियमों अनुसार 2020-2021 से वैकल्पिक कर गणना </t>
  </si>
  <si>
    <t>बिना छूट का लाभ  लिए कर गणना</t>
  </si>
  <si>
    <t>स.क्र.</t>
  </si>
  <si>
    <t xml:space="preserve">सकल आय </t>
  </si>
  <si>
    <t xml:space="preserve">250000 तक </t>
  </si>
  <si>
    <t>NIL</t>
  </si>
  <si>
    <t xml:space="preserve">250001 से 300000 तक </t>
  </si>
  <si>
    <t>300001 से 500000 तक</t>
  </si>
  <si>
    <t>500001 से 750000 तक</t>
  </si>
  <si>
    <t>750001 से 1000000 तक</t>
  </si>
  <si>
    <t xml:space="preserve">1000001 से 1250000 तक </t>
  </si>
  <si>
    <t xml:space="preserve">1250001 से 1500000 तक </t>
  </si>
  <si>
    <t xml:space="preserve">1500001 से अधिक </t>
  </si>
  <si>
    <t>आयकर  की दर</t>
  </si>
  <si>
    <t>योग</t>
  </si>
  <si>
    <r>
      <t xml:space="preserve">ट्रायबल विभाग के शिक्षकों का संगठन " ट्रायबल वेल्फेयर टीचर्स एसोसिएशन म.प्र. "  शिक्षकों के सहयोग के लिए  निर्मित हमारी वेब साइट  </t>
    </r>
    <r>
      <rPr>
        <b/>
        <u/>
        <sz val="14"/>
        <rFont val="Aparajita"/>
        <family val="2"/>
      </rPr>
      <t>www.twtamp.in</t>
    </r>
    <r>
      <rPr>
        <b/>
        <sz val="14"/>
        <rFont val="Aparajita"/>
        <family val="2"/>
      </rPr>
      <t xml:space="preserve">  का अवलोकन अवश्य करें</t>
    </r>
  </si>
  <si>
    <t>INCOME TAX CALCULATION (GA-55) 2020-21</t>
  </si>
  <si>
    <t>vk;dj x.kuk izi= o"kZ 2020&amp;2021¼dj fu/kkZj.k o"kZ 2021&amp;2022½</t>
  </si>
  <si>
    <t xml:space="preserve"> प्रदेशाध्यक्ष श्री डी के सिंगौर के मार्गदर्शन में श्री विजय उपाध्याय के सहयोग से प्रदेश महासचिव सुरेश यादव  (9926809650) द्वारा निर्मित  </t>
  </si>
  <si>
    <t xml:space="preserve"> प्रदेशाध्यक्ष श्री डी के सिंगौर के मार्गदर्शन में श्री विजय उपाध्याय के सहयोग से प्रदेश महासचिव सुरेश यादव (9926809650)  द्वारा निर्मित  </t>
  </si>
  <si>
    <t xml:space="preserve"> प्रदेशाध्यक्ष श्री डी के सिंगौर के मार्गदर्शन में श्री विजय उपाध्याय के सहयोग से प्रदेश महासचिव सुरेश यादव (9926809650) द्वारा निर्मित  </t>
  </si>
  <si>
    <r>
      <t xml:space="preserve">23 घटाइये-धारा 80CCD (2) नियोक्ता द्वारा पेंशन अंशदान की राशि  (अधिकतम वेतन का 10% ) पृथक से छूट  </t>
    </r>
    <r>
      <rPr>
        <sz val="11"/>
        <rFont val="Aparajita"/>
        <family val="2"/>
      </rPr>
      <t xml:space="preserve">  </t>
    </r>
  </si>
  <si>
    <t xml:space="preserve">DA Arrear </t>
  </si>
  <si>
    <t xml:space="preserve">सितम्बर 2020 तक रुपए </t>
  </si>
  <si>
    <t xml:space="preserve">दिसम्बर 2020 तक  रुपए </t>
  </si>
  <si>
    <t xml:space="preserve">जनवरी 2021 तक रुपए </t>
  </si>
  <si>
    <t xml:space="preserve">फरवरी 2021 तक </t>
  </si>
  <si>
    <t xml:space="preserve">आय वर्ष 2019-20 मे प्राप्त कुल वेतन  ( कर गणना मे शामिल सभी भत्तों सहित ) </t>
  </si>
  <si>
    <t>Laxman Devda</t>
  </si>
  <si>
    <t xml:space="preserve">Madhymik Shikshak </t>
  </si>
  <si>
    <t>KLP00232K</t>
  </si>
  <si>
    <t>SBIN0030142</t>
  </si>
  <si>
    <t>OFFICE Of  HIGH SCHOOL BALIPUR</t>
  </si>
  <si>
    <t>BASIC  +   D.A.</t>
  </si>
  <si>
    <t>Relief fund/Recovery</t>
  </si>
</sst>
</file>

<file path=xl/styles.xml><?xml version="1.0" encoding="utf-8"?>
<styleSheet xmlns="http://schemas.openxmlformats.org/spreadsheetml/2006/main">
  <numFmts count="1">
    <numFmt numFmtId="164" formatCode="0;[Red]0"/>
  </numFmts>
  <fonts count="70">
    <font>
      <sz val="11"/>
      <color theme="1"/>
      <name val="Calibri"/>
      <family val="2"/>
      <scheme val="minor"/>
    </font>
    <font>
      <sz val="10"/>
      <name val="Arial"/>
    </font>
    <font>
      <sz val="12"/>
      <name val="DevLys 010"/>
    </font>
    <font>
      <sz val="10"/>
      <name val="Arial"/>
      <family val="2"/>
    </font>
    <font>
      <sz val="11"/>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9"/>
      <name val="Arial"/>
      <family val="2"/>
    </font>
    <font>
      <sz val="10"/>
      <name val="Calibri"/>
      <family val="2"/>
      <scheme val="minor"/>
    </font>
    <font>
      <b/>
      <sz val="10"/>
      <name val="Calibri"/>
      <family val="2"/>
      <scheme val="minor"/>
    </font>
    <font>
      <sz val="11"/>
      <name val="Calibri"/>
      <family val="2"/>
      <scheme val="minor"/>
    </font>
    <font>
      <sz val="13"/>
      <name val="Calibri"/>
      <family val="2"/>
      <scheme val="minor"/>
    </font>
    <font>
      <b/>
      <i/>
      <u/>
      <sz val="14"/>
      <name val="Calibri"/>
      <family val="2"/>
      <scheme val="minor"/>
    </font>
    <font>
      <b/>
      <sz val="11"/>
      <name val="Calibri"/>
      <family val="2"/>
      <scheme val="minor"/>
    </font>
    <font>
      <b/>
      <sz val="16"/>
      <color theme="1"/>
      <name val="Times New Roman"/>
      <family val="1"/>
    </font>
    <font>
      <b/>
      <sz val="10"/>
      <color theme="1"/>
      <name val="Times New Roman"/>
      <family val="1"/>
    </font>
    <font>
      <b/>
      <sz val="20"/>
      <name val="DevLys 010"/>
    </font>
    <font>
      <sz val="11"/>
      <color theme="1"/>
      <name val="Calibri"/>
      <family val="2"/>
      <scheme val="minor"/>
    </font>
    <font>
      <b/>
      <u/>
      <sz val="11"/>
      <name val="Times New Roman"/>
      <family val="1"/>
    </font>
    <font>
      <b/>
      <sz val="11"/>
      <name val="Times New Roman"/>
      <family val="1"/>
    </font>
    <font>
      <sz val="13"/>
      <name val="Aparajita"/>
      <family val="2"/>
    </font>
    <font>
      <b/>
      <sz val="12"/>
      <name val="Aparajita"/>
      <family val="2"/>
    </font>
    <font>
      <sz val="12"/>
      <name val="Aparajita"/>
      <family val="2"/>
    </font>
    <font>
      <sz val="10"/>
      <name val="Aparajita"/>
      <family val="2"/>
    </font>
    <font>
      <sz val="11"/>
      <name val="Aparajita"/>
      <family val="2"/>
    </font>
    <font>
      <b/>
      <sz val="20"/>
      <name val="Aparajita"/>
      <family val="2"/>
    </font>
    <font>
      <sz val="9"/>
      <name val="Calibri"/>
      <family val="2"/>
      <scheme val="minor"/>
    </font>
    <font>
      <b/>
      <sz val="14"/>
      <name val="Aparajita"/>
      <family val="2"/>
    </font>
    <font>
      <sz val="14"/>
      <color theme="1"/>
      <name val="Calibri"/>
      <family val="2"/>
      <scheme val="minor"/>
    </font>
    <font>
      <b/>
      <sz val="16"/>
      <color theme="1"/>
      <name val="Aparajita"/>
      <family val="2"/>
    </font>
    <font>
      <sz val="16"/>
      <color theme="1"/>
      <name val="Aparajita"/>
      <family val="2"/>
    </font>
    <font>
      <b/>
      <sz val="16"/>
      <name val="Aparajita"/>
      <family val="2"/>
    </font>
    <font>
      <sz val="16"/>
      <color theme="1"/>
      <name val="Calibri"/>
      <family val="2"/>
      <scheme val="minor"/>
    </font>
    <font>
      <i/>
      <sz val="11"/>
      <name val="Aparajita"/>
      <family val="2"/>
    </font>
    <font>
      <sz val="11"/>
      <color theme="1"/>
      <name val="Aparajita"/>
      <family val="2"/>
    </font>
    <font>
      <b/>
      <sz val="11"/>
      <name val="Aparajita"/>
      <family val="2"/>
    </font>
    <font>
      <b/>
      <sz val="9"/>
      <name val="Aparajita"/>
      <family val="2"/>
    </font>
    <font>
      <b/>
      <i/>
      <sz val="11"/>
      <name val="Calibri"/>
      <family val="2"/>
      <scheme val="minor"/>
    </font>
    <font>
      <sz val="11"/>
      <name val="DevLys 010"/>
    </font>
    <font>
      <b/>
      <sz val="11"/>
      <name val="DevLys 010"/>
    </font>
    <font>
      <b/>
      <sz val="11"/>
      <name val="Arial"/>
      <family val="2"/>
    </font>
    <font>
      <u/>
      <sz val="20"/>
      <color theme="1"/>
      <name val="Aparajita"/>
      <family val="2"/>
    </font>
    <font>
      <b/>
      <sz val="18"/>
      <color theme="1"/>
      <name val="Aparajita"/>
      <family val="2"/>
    </font>
    <font>
      <b/>
      <sz val="20"/>
      <color theme="1"/>
      <name val="Aparajita"/>
      <family val="2"/>
    </font>
    <font>
      <b/>
      <sz val="22"/>
      <color theme="1"/>
      <name val="Aparajita"/>
      <family val="2"/>
    </font>
    <font>
      <b/>
      <sz val="10"/>
      <name val="Aparajita"/>
      <family val="2"/>
    </font>
    <font>
      <b/>
      <u/>
      <sz val="11"/>
      <name val="Aparajita"/>
      <family val="2"/>
    </font>
    <font>
      <sz val="14"/>
      <color theme="1"/>
      <name val="Aparajita"/>
      <family val="2"/>
    </font>
    <font>
      <b/>
      <sz val="14"/>
      <color theme="1"/>
      <name val="Aparajita"/>
      <family val="2"/>
    </font>
    <font>
      <b/>
      <u/>
      <sz val="14"/>
      <name val="Aparajita"/>
      <family val="2"/>
    </font>
    <font>
      <b/>
      <sz val="11"/>
      <color theme="1"/>
      <name val="Aparajita"/>
      <family val="2"/>
    </font>
    <font>
      <sz val="16"/>
      <name val="Aparajita"/>
      <family val="2"/>
    </font>
    <font>
      <sz val="11"/>
      <name val="Kruti Dev 010"/>
    </font>
    <font>
      <b/>
      <sz val="16"/>
      <name val="Kruti Dev 010"/>
    </font>
    <font>
      <b/>
      <i/>
      <sz val="9"/>
      <name val="Aparajita"/>
      <family val="2"/>
    </font>
  </fonts>
  <fills count="3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3" tint="0.59999389629810485"/>
        <bgColor indexed="64"/>
      </patternFill>
    </fill>
  </fills>
  <borders count="3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top/>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s>
  <cellStyleXfs count="131">
    <xf numFmtId="0" fontId="0" fillId="0" borderId="0"/>
    <xf numFmtId="0" fontId="1"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7" fillId="3" borderId="0" applyNumberFormat="0" applyBorder="0" applyAlignment="0" applyProtection="0"/>
    <xf numFmtId="0" fontId="8" fillId="20" borderId="1" applyNumberFormat="0" applyAlignment="0" applyProtection="0"/>
    <xf numFmtId="0" fontId="9" fillId="21" borderId="2" applyNumberFormat="0" applyAlignment="0" applyProtection="0"/>
    <xf numFmtId="0" fontId="10" fillId="0" borderId="0" applyNumberFormat="0" applyFill="0" applyBorder="0" applyAlignment="0" applyProtection="0"/>
    <xf numFmtId="0" fontId="11" fillId="4"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7" borderId="1" applyNumberFormat="0" applyAlignment="0" applyProtection="0"/>
    <xf numFmtId="0" fontId="16" fillId="0" borderId="6" applyNumberFormat="0" applyFill="0" applyAlignment="0" applyProtection="0"/>
    <xf numFmtId="0" fontId="17" fillId="22" borderId="0" applyNumberFormat="0" applyBorder="0" applyAlignment="0" applyProtection="0"/>
    <xf numFmtId="0" fontId="3" fillId="0" borderId="0"/>
    <xf numFmtId="0" fontId="3" fillId="0" borderId="0"/>
    <xf numFmtId="0" fontId="5" fillId="23" borderId="7" applyNumberFormat="0" applyFont="0" applyAlignment="0" applyProtection="0"/>
    <xf numFmtId="0" fontId="18" fillId="20" borderId="8" applyNumberForma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xf numFmtId="0" fontId="1"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7" fillId="3" borderId="0" applyNumberFormat="0" applyBorder="0" applyAlignment="0" applyProtection="0"/>
    <xf numFmtId="0" fontId="8" fillId="20" borderId="1" applyNumberFormat="0" applyAlignment="0" applyProtection="0"/>
    <xf numFmtId="0" fontId="9" fillId="21" borderId="2" applyNumberFormat="0" applyAlignment="0" applyProtection="0"/>
    <xf numFmtId="0" fontId="10" fillId="0" borderId="0" applyNumberFormat="0" applyFill="0" applyBorder="0" applyAlignment="0" applyProtection="0"/>
    <xf numFmtId="0" fontId="11" fillId="4"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7" borderId="1" applyNumberFormat="0" applyAlignment="0" applyProtection="0"/>
    <xf numFmtId="0" fontId="16" fillId="0" borderId="6" applyNumberFormat="0" applyFill="0" applyAlignment="0" applyProtection="0"/>
    <xf numFmtId="0" fontId="17" fillId="22" borderId="0" applyNumberFormat="0" applyBorder="0" applyAlignment="0" applyProtection="0"/>
    <xf numFmtId="0" fontId="3" fillId="0" borderId="0"/>
    <xf numFmtId="0" fontId="5" fillId="23" borderId="7" applyNumberFormat="0" applyFont="0" applyAlignment="0" applyProtection="0"/>
    <xf numFmtId="0" fontId="18" fillId="20" borderId="8" applyNumberForma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xf numFmtId="0" fontId="1"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7" fillId="3" borderId="0" applyNumberFormat="0" applyBorder="0" applyAlignment="0" applyProtection="0"/>
    <xf numFmtId="0" fontId="8" fillId="20" borderId="1" applyNumberFormat="0" applyAlignment="0" applyProtection="0"/>
    <xf numFmtId="0" fontId="9" fillId="21" borderId="2" applyNumberFormat="0" applyAlignment="0" applyProtection="0"/>
    <xf numFmtId="0" fontId="10" fillId="0" borderId="0" applyNumberFormat="0" applyFill="0" applyBorder="0" applyAlignment="0" applyProtection="0"/>
    <xf numFmtId="0" fontId="11" fillId="4"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7" borderId="1" applyNumberFormat="0" applyAlignment="0" applyProtection="0"/>
    <xf numFmtId="0" fontId="16" fillId="0" borderId="6" applyNumberFormat="0" applyFill="0" applyAlignment="0" applyProtection="0"/>
    <xf numFmtId="0" fontId="17" fillId="22" borderId="0" applyNumberFormat="0" applyBorder="0" applyAlignment="0" applyProtection="0"/>
    <xf numFmtId="0" fontId="3" fillId="0" borderId="0"/>
    <xf numFmtId="0" fontId="5" fillId="23" borderId="7" applyNumberFormat="0" applyFont="0" applyAlignment="0" applyProtection="0"/>
    <xf numFmtId="0" fontId="18" fillId="20" borderId="8" applyNumberForma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0" borderId="0" applyNumberFormat="0" applyFill="0" applyBorder="0" applyAlignment="0" applyProtection="0"/>
  </cellStyleXfs>
  <cellXfs count="229">
    <xf numFmtId="0" fontId="0" fillId="0" borderId="0" xfId="0"/>
    <xf numFmtId="0" fontId="0" fillId="0" borderId="0" xfId="0" applyAlignment="1" applyProtection="1">
      <alignment vertical="center" wrapText="1"/>
      <protection hidden="1"/>
    </xf>
    <xf numFmtId="0" fontId="39" fillId="0" borderId="30" xfId="125" applyFont="1" applyBorder="1" applyAlignment="1" applyProtection="1">
      <alignment horizontal="center" vertical="center" wrapText="1"/>
      <protection hidden="1"/>
    </xf>
    <xf numFmtId="2" fontId="39" fillId="0" borderId="21" xfId="125" applyNumberFormat="1" applyFont="1" applyBorder="1" applyAlignment="1" applyProtection="1">
      <alignment horizontal="right" vertical="center" wrapText="1"/>
      <protection hidden="1"/>
    </xf>
    <xf numFmtId="0" fontId="39" fillId="0" borderId="10" xfId="38" applyFont="1" applyBorder="1" applyAlignment="1" applyProtection="1">
      <alignment horizontal="center" vertical="center"/>
      <protection hidden="1"/>
    </xf>
    <xf numFmtId="0" fontId="39" fillId="0" borderId="10" xfId="38" applyFont="1" applyFill="1" applyBorder="1" applyAlignment="1" applyProtection="1">
      <alignment horizontal="center" vertical="center"/>
      <protection hidden="1"/>
    </xf>
    <xf numFmtId="0" fontId="50" fillId="0" borderId="21" xfId="125" applyFont="1" applyBorder="1" applyAlignment="1" applyProtection="1">
      <alignment vertical="center" wrapText="1"/>
      <protection hidden="1"/>
    </xf>
    <xf numFmtId="0" fontId="50" fillId="0" borderId="26" xfId="125" applyFont="1" applyBorder="1" applyAlignment="1" applyProtection="1">
      <alignment horizontal="center" vertical="center" wrapText="1"/>
      <protection hidden="1"/>
    </xf>
    <xf numFmtId="1" fontId="39" fillId="0" borderId="10" xfId="125" applyNumberFormat="1" applyFont="1" applyBorder="1" applyAlignment="1" applyProtection="1">
      <alignment horizontal="center" vertical="center" wrapText="1"/>
      <protection hidden="1"/>
    </xf>
    <xf numFmtId="0" fontId="51" fillId="0" borderId="0" xfId="125" applyFont="1" applyBorder="1" applyAlignment="1" applyProtection="1">
      <alignment horizontal="right" vertical="center" wrapText="1"/>
      <protection hidden="1"/>
    </xf>
    <xf numFmtId="0" fontId="22" fillId="0" borderId="0" xfId="125" applyFont="1" applyBorder="1" applyAlignment="1" applyProtection="1">
      <alignment horizontal="right" vertical="center" wrapText="1"/>
      <protection hidden="1"/>
    </xf>
    <xf numFmtId="2" fontId="37" fillId="0" borderId="0" xfId="125" applyNumberFormat="1" applyFont="1" applyBorder="1" applyAlignment="1" applyProtection="1">
      <alignment horizontal="right" vertical="center" wrapText="1"/>
      <protection hidden="1"/>
    </xf>
    <xf numFmtId="0" fontId="49" fillId="0" borderId="0" xfId="0" applyFont="1" applyAlignment="1" applyProtection="1">
      <alignment vertical="center" wrapText="1"/>
      <protection hidden="1"/>
    </xf>
    <xf numFmtId="0" fontId="30" fillId="0" borderId="10" xfId="0" applyFont="1" applyFill="1" applyBorder="1" applyAlignment="1" applyProtection="1">
      <alignment horizontal="center" vertical="center"/>
      <protection hidden="1"/>
    </xf>
    <xf numFmtId="0" fontId="30" fillId="0" borderId="10" xfId="0" applyFont="1" applyFill="1" applyBorder="1" applyAlignment="1" applyProtection="1">
      <alignment horizontal="center" vertical="center" wrapText="1"/>
      <protection hidden="1"/>
    </xf>
    <xf numFmtId="0" fontId="24" fillId="0" borderId="10" xfId="1" applyNumberFormat="1" applyFont="1" applyFill="1" applyBorder="1" applyAlignment="1" applyProtection="1">
      <alignment horizontal="center" vertical="center"/>
      <protection hidden="1"/>
    </xf>
    <xf numFmtId="0" fontId="28" fillId="0" borderId="10" xfId="1" applyNumberFormat="1" applyFont="1" applyFill="1" applyBorder="1" applyAlignment="1" applyProtection="1">
      <alignment horizontal="center" vertical="center"/>
      <protection hidden="1"/>
    </xf>
    <xf numFmtId="0" fontId="39" fillId="0" borderId="10" xfId="125" applyFont="1" applyFill="1" applyBorder="1" applyAlignment="1" applyProtection="1">
      <alignment horizontal="center" vertical="center" wrapText="1"/>
      <protection hidden="1"/>
    </xf>
    <xf numFmtId="0" fontId="60" fillId="0" borderId="32" xfId="38" applyFont="1" applyBorder="1" applyAlignment="1" applyProtection="1">
      <alignment vertical="center"/>
      <protection hidden="1"/>
    </xf>
    <xf numFmtId="0" fontId="60" fillId="0" borderId="32" xfId="38" applyFont="1" applyBorder="1" applyAlignment="1" applyProtection="1">
      <alignment horizontal="center" vertical="center"/>
      <protection hidden="1"/>
    </xf>
    <xf numFmtId="0" fontId="43" fillId="0" borderId="0" xfId="0" applyFont="1"/>
    <xf numFmtId="0" fontId="0" fillId="0" borderId="0" xfId="0" applyProtection="1">
      <protection hidden="1"/>
    </xf>
    <xf numFmtId="0" fontId="43" fillId="0" borderId="0" xfId="0" applyFont="1" applyProtection="1">
      <protection hidden="1"/>
    </xf>
    <xf numFmtId="0" fontId="49" fillId="0" borderId="0" xfId="0" applyFont="1" applyProtection="1">
      <protection hidden="1"/>
    </xf>
    <xf numFmtId="0" fontId="62" fillId="0" borderId="0" xfId="0" applyFont="1" applyProtection="1">
      <protection hidden="1"/>
    </xf>
    <xf numFmtId="0" fontId="45" fillId="33" borderId="10" xfId="0" applyFont="1" applyFill="1" applyBorder="1" applyAlignment="1" applyProtection="1">
      <alignment horizontal="center"/>
      <protection hidden="1"/>
    </xf>
    <xf numFmtId="0" fontId="63" fillId="33" borderId="10" xfId="0" applyFont="1" applyFill="1" applyBorder="1" applyProtection="1">
      <protection hidden="1"/>
    </xf>
    <xf numFmtId="0" fontId="45" fillId="32" borderId="10" xfId="0" applyFont="1" applyFill="1" applyBorder="1" applyAlignment="1" applyProtection="1">
      <alignment horizontal="center"/>
      <protection hidden="1"/>
    </xf>
    <xf numFmtId="0" fontId="63" fillId="32" borderId="10" xfId="0" applyFont="1" applyFill="1" applyBorder="1" applyProtection="1">
      <protection hidden="1"/>
    </xf>
    <xf numFmtId="0" fontId="45" fillId="34" borderId="10" xfId="0" applyFont="1" applyFill="1" applyBorder="1" applyAlignment="1" applyProtection="1">
      <alignment horizontal="center"/>
      <protection hidden="1"/>
    </xf>
    <xf numFmtId="0" fontId="63" fillId="34" borderId="10" xfId="0" applyFont="1" applyFill="1" applyBorder="1" applyProtection="1">
      <protection hidden="1"/>
    </xf>
    <xf numFmtId="2" fontId="35" fillId="25" borderId="10" xfId="45" applyNumberFormat="1" applyFont="1" applyFill="1" applyBorder="1" applyAlignment="1" applyProtection="1">
      <alignment horizontal="left" vertical="center" wrapText="1"/>
      <protection hidden="1"/>
    </xf>
    <xf numFmtId="2" fontId="37" fillId="25" borderId="10" xfId="45" applyNumberFormat="1" applyFont="1" applyFill="1" applyBorder="1" applyAlignment="1" applyProtection="1">
      <alignment horizontal="left" vertical="center" wrapText="1"/>
      <protection hidden="1"/>
    </xf>
    <xf numFmtId="2" fontId="35" fillId="29" borderId="10" xfId="45" applyNumberFormat="1" applyFont="1" applyFill="1" applyBorder="1" applyAlignment="1" applyProtection="1">
      <alignment horizontal="left" vertical="center" wrapText="1"/>
      <protection hidden="1"/>
    </xf>
    <xf numFmtId="2" fontId="37" fillId="29" borderId="10" xfId="45" applyNumberFormat="1" applyFont="1" applyFill="1" applyBorder="1" applyAlignment="1" applyProtection="1">
      <alignment horizontal="left" vertical="center" wrapText="1"/>
      <protection hidden="1"/>
    </xf>
    <xf numFmtId="2" fontId="35" fillId="31" borderId="10" xfId="45" applyNumberFormat="1" applyFont="1" applyFill="1" applyBorder="1" applyAlignment="1" applyProtection="1">
      <alignment horizontal="left" vertical="center" wrapText="1"/>
      <protection hidden="1"/>
    </xf>
    <xf numFmtId="2" fontId="37" fillId="31" borderId="10" xfId="45" applyNumberFormat="1" applyFont="1" applyFill="1" applyBorder="1" applyAlignment="1" applyProtection="1">
      <alignment horizontal="left" vertical="center" wrapText="1"/>
      <protection hidden="1"/>
    </xf>
    <xf numFmtId="2" fontId="29" fillId="30" borderId="11" xfId="45" applyNumberFormat="1" applyFont="1" applyFill="1" applyBorder="1" applyAlignment="1" applyProtection="1">
      <alignment horizontal="left" vertical="center"/>
      <protection hidden="1"/>
    </xf>
    <xf numFmtId="2" fontId="29" fillId="30" borderId="0" xfId="45" applyNumberFormat="1" applyFont="1" applyFill="1" applyBorder="1" applyAlignment="1" applyProtection="1">
      <alignment horizontal="left" vertical="center"/>
      <protection hidden="1"/>
    </xf>
    <xf numFmtId="1" fontId="59" fillId="26" borderId="0" xfId="45" applyNumberFormat="1" applyFont="1" applyFill="1" applyBorder="1" applyAlignment="1" applyProtection="1">
      <alignment horizontal="left" vertical="center"/>
      <protection hidden="1"/>
    </xf>
    <xf numFmtId="1" fontId="44" fillId="26" borderId="0" xfId="45" applyNumberFormat="1" applyFont="1" applyFill="1" applyBorder="1" applyAlignment="1" applyProtection="1">
      <alignment horizontal="left" vertical="center"/>
      <protection hidden="1"/>
    </xf>
    <xf numFmtId="1" fontId="58" fillId="27" borderId="0" xfId="45" applyNumberFormat="1" applyFont="1" applyFill="1" applyBorder="1" applyAlignment="1" applyProtection="1">
      <alignment horizontal="left" vertical="center"/>
      <protection hidden="1"/>
    </xf>
    <xf numFmtId="1" fontId="44" fillId="27" borderId="0" xfId="45" applyNumberFormat="1" applyFont="1" applyFill="1" applyBorder="1" applyAlignment="1" applyProtection="1">
      <alignment horizontal="left" vertical="center"/>
      <protection hidden="1"/>
    </xf>
    <xf numFmtId="1" fontId="58" fillId="25" borderId="0" xfId="45" applyNumberFormat="1" applyFont="1" applyFill="1" applyBorder="1" applyAlignment="1" applyProtection="1">
      <alignment horizontal="left" vertical="center"/>
      <protection hidden="1"/>
    </xf>
    <xf numFmtId="0" fontId="23" fillId="0" borderId="10" xfId="1" applyNumberFormat="1" applyFont="1" applyFill="1" applyBorder="1" applyAlignment="1" applyProtection="1">
      <alignment horizontal="center" vertical="center"/>
      <protection locked="0"/>
    </xf>
    <xf numFmtId="0" fontId="25" fillId="0" borderId="10" xfId="125" applyFont="1" applyBorder="1" applyAlignment="1" applyProtection="1">
      <alignment horizontal="center" vertical="center" wrapText="1"/>
      <protection hidden="1"/>
    </xf>
    <xf numFmtId="0" fontId="39" fillId="0" borderId="10" xfId="125" applyFont="1" applyBorder="1" applyAlignment="1" applyProtection="1">
      <alignment horizontal="center" vertical="center" wrapText="1"/>
      <protection hidden="1"/>
    </xf>
    <xf numFmtId="9" fontId="25" fillId="0" borderId="10" xfId="125" applyNumberFormat="1" applyFont="1" applyBorder="1" applyAlignment="1" applyProtection="1">
      <alignment horizontal="center" vertical="center" wrapText="1"/>
      <protection hidden="1"/>
    </xf>
    <xf numFmtId="0" fontId="50" fillId="0" borderId="10" xfId="125" applyFont="1" applyBorder="1" applyAlignment="1" applyProtection="1">
      <alignment horizontal="center" vertical="center" wrapText="1"/>
      <protection hidden="1"/>
    </xf>
    <xf numFmtId="0" fontId="39" fillId="0" borderId="22" xfId="125" applyFont="1" applyBorder="1" applyAlignment="1" applyProtection="1">
      <alignment horizontal="center" vertical="center" wrapText="1"/>
      <protection hidden="1"/>
    </xf>
    <xf numFmtId="0" fontId="34" fillId="0" borderId="0" xfId="1" applyNumberFormat="1" applyFont="1" applyFill="1" applyBorder="1" applyAlignment="1" applyProtection="1">
      <alignment horizontal="right" vertical="top"/>
      <protection hidden="1"/>
    </xf>
    <xf numFmtId="0" fontId="34" fillId="0" borderId="0" xfId="1" applyNumberFormat="1" applyFont="1" applyFill="1" applyBorder="1" applyAlignment="1" applyProtection="1">
      <alignment vertical="top"/>
      <protection hidden="1"/>
    </xf>
    <xf numFmtId="0" fontId="34" fillId="0" borderId="0" xfId="1" applyNumberFormat="1" applyFont="1" applyFill="1" applyBorder="1" applyAlignment="1" applyProtection="1">
      <alignment horizontal="left" vertical="top"/>
      <protection hidden="1"/>
    </xf>
    <xf numFmtId="0" fontId="26" fillId="0" borderId="10" xfId="1" applyNumberFormat="1" applyFont="1" applyFill="1" applyBorder="1" applyAlignment="1" applyProtection="1">
      <alignment horizontal="center" vertical="center" wrapText="1"/>
      <protection hidden="1"/>
    </xf>
    <xf numFmtId="17" fontId="25" fillId="0" borderId="10" xfId="1" applyNumberFormat="1" applyFont="1" applyFill="1" applyBorder="1" applyAlignment="1" applyProtection="1">
      <alignment horizontal="center" vertical="center"/>
      <protection hidden="1"/>
    </xf>
    <xf numFmtId="17" fontId="41" fillId="0" borderId="10" xfId="1" applyNumberFormat="1" applyFont="1" applyFill="1" applyBorder="1" applyAlignment="1" applyProtection="1">
      <alignment horizontal="center" vertical="center"/>
      <protection hidden="1"/>
    </xf>
    <xf numFmtId="0" fontId="32" fillId="0" borderId="0" xfId="0" applyFont="1" applyProtection="1">
      <protection locked="0"/>
    </xf>
    <xf numFmtId="0" fontId="32" fillId="0" borderId="0" xfId="0" applyFont="1" applyBorder="1" applyProtection="1">
      <protection locked="0"/>
    </xf>
    <xf numFmtId="0" fontId="0" fillId="0" borderId="0" xfId="0" applyProtection="1">
      <protection locked="0"/>
    </xf>
    <xf numFmtId="0" fontId="0" fillId="0" borderId="0" xfId="0" applyAlignment="1" applyProtection="1">
      <alignment vertical="center"/>
      <protection locked="0"/>
    </xf>
    <xf numFmtId="0" fontId="0" fillId="0" borderId="0" xfId="0" applyAlignment="1" applyProtection="1">
      <protection locked="0"/>
    </xf>
    <xf numFmtId="49" fontId="34" fillId="0" borderId="0" xfId="1" applyNumberFormat="1" applyFont="1" applyFill="1" applyBorder="1" applyAlignment="1" applyProtection="1">
      <alignment horizontal="left" vertical="top"/>
      <protection hidden="1"/>
    </xf>
    <xf numFmtId="0" fontId="0" fillId="0" borderId="0" xfId="0" applyAlignment="1" applyProtection="1">
      <alignment horizontal="left" vertical="center"/>
      <protection locked="0"/>
    </xf>
    <xf numFmtId="0" fontId="43" fillId="0" borderId="0" xfId="0" applyFont="1" applyAlignment="1" applyProtection="1">
      <alignment horizontal="left" vertical="center"/>
      <protection locked="0"/>
    </xf>
    <xf numFmtId="0" fontId="47" fillId="0" borderId="0" xfId="0" applyFont="1" applyAlignment="1" applyProtection="1">
      <alignment horizontal="left" vertical="center"/>
      <protection locked="0"/>
    </xf>
    <xf numFmtId="164" fontId="50" fillId="0" borderId="21" xfId="125" applyNumberFormat="1" applyFont="1" applyBorder="1" applyAlignment="1" applyProtection="1">
      <alignment horizontal="right" vertical="center" wrapText="1"/>
      <protection hidden="1"/>
    </xf>
    <xf numFmtId="164" fontId="39" fillId="0" borderId="21" xfId="125" applyNumberFormat="1" applyFont="1" applyBorder="1" applyAlignment="1" applyProtection="1">
      <alignment horizontal="right" vertical="center" wrapText="1"/>
      <protection hidden="1"/>
    </xf>
    <xf numFmtId="164" fontId="39" fillId="0" borderId="21" xfId="125" applyNumberFormat="1" applyFont="1" applyBorder="1" applyAlignment="1" applyProtection="1">
      <alignment vertical="center" wrapText="1"/>
      <protection hidden="1"/>
    </xf>
    <xf numFmtId="164" fontId="39" fillId="0" borderId="26" xfId="125" applyNumberFormat="1" applyFont="1" applyBorder="1" applyAlignment="1" applyProtection="1">
      <alignment horizontal="right" vertical="center" wrapText="1"/>
      <protection hidden="1"/>
    </xf>
    <xf numFmtId="164" fontId="39" fillId="0" borderId="29" xfId="125" applyNumberFormat="1" applyFont="1" applyBorder="1" applyAlignment="1" applyProtection="1">
      <alignment horizontal="right" vertical="center" wrapText="1"/>
      <protection hidden="1"/>
    </xf>
    <xf numFmtId="164" fontId="69" fillId="0" borderId="10" xfId="125" applyNumberFormat="1" applyFont="1" applyBorder="1" applyAlignment="1" applyProtection="1">
      <alignment horizontal="center" vertical="center" wrapText="1"/>
      <protection hidden="1"/>
    </xf>
    <xf numFmtId="164" fontId="36" fillId="25" borderId="10" xfId="45" applyNumberFormat="1" applyFont="1" applyFill="1" applyBorder="1" applyAlignment="1" applyProtection="1">
      <alignment horizontal="left" vertical="center" wrapText="1"/>
      <protection locked="0"/>
    </xf>
    <xf numFmtId="164" fontId="36" fillId="35" borderId="10" xfId="45" applyNumberFormat="1" applyFont="1" applyFill="1" applyBorder="1" applyAlignment="1" applyProtection="1">
      <alignment horizontal="left" vertical="center" wrapText="1"/>
      <protection hidden="1"/>
    </xf>
    <xf numFmtId="164" fontId="44" fillId="25" borderId="0" xfId="45" applyNumberFormat="1" applyFont="1" applyFill="1" applyBorder="1" applyAlignment="1" applyProtection="1">
      <alignment horizontal="left" vertical="center"/>
      <protection hidden="1"/>
    </xf>
    <xf numFmtId="164" fontId="44" fillId="27" borderId="20" xfId="45" applyNumberFormat="1" applyFont="1" applyFill="1" applyBorder="1" applyAlignment="1" applyProtection="1">
      <alignment horizontal="left" vertical="center"/>
      <protection hidden="1"/>
    </xf>
    <xf numFmtId="164" fontId="48" fillId="0" borderId="21" xfId="125" applyNumberFormat="1" applyFont="1" applyBorder="1" applyAlignment="1" applyProtection="1">
      <alignment horizontal="right" vertical="center" wrapText="1"/>
      <protection hidden="1"/>
    </xf>
    <xf numFmtId="164" fontId="48" fillId="0" borderId="10" xfId="125" applyNumberFormat="1" applyFont="1" applyBorder="1" applyAlignment="1" applyProtection="1">
      <alignment horizontal="center" vertical="center" wrapText="1"/>
      <protection hidden="1"/>
    </xf>
    <xf numFmtId="164" fontId="48" fillId="0" borderId="10" xfId="125" applyNumberFormat="1" applyFont="1" applyFill="1" applyBorder="1" applyAlignment="1" applyProtection="1">
      <alignment horizontal="center" vertical="center" wrapText="1"/>
      <protection hidden="1"/>
    </xf>
    <xf numFmtId="164" fontId="48" fillId="24" borderId="10" xfId="125" applyNumberFormat="1" applyFont="1" applyFill="1" applyBorder="1" applyAlignment="1" applyProtection="1">
      <alignment horizontal="center" vertical="center" wrapText="1"/>
      <protection hidden="1"/>
    </xf>
    <xf numFmtId="0" fontId="34" fillId="0" borderId="0" xfId="1" applyNumberFormat="1" applyFont="1" applyFill="1" applyBorder="1" applyAlignment="1" applyProtection="1">
      <alignment horizontal="center" vertical="center" wrapText="1"/>
      <protection locked="0"/>
    </xf>
    <xf numFmtId="0" fontId="34" fillId="0" borderId="0" xfId="1" applyNumberFormat="1" applyFont="1" applyFill="1" applyBorder="1" applyAlignment="1" applyProtection="1">
      <alignment horizontal="right" vertical="top"/>
      <protection hidden="1"/>
    </xf>
    <xf numFmtId="1" fontId="34" fillId="0" borderId="0" xfId="1" applyNumberFormat="1" applyFont="1" applyFill="1" applyBorder="1" applyAlignment="1" applyProtection="1">
      <alignment horizontal="center" vertical="center"/>
      <protection locked="0"/>
    </xf>
    <xf numFmtId="0" fontId="45" fillId="28" borderId="0" xfId="0" applyFont="1" applyFill="1" applyAlignment="1" applyProtection="1">
      <alignment horizontal="center" vertical="center" wrapText="1"/>
      <protection hidden="1"/>
    </xf>
    <xf numFmtId="0" fontId="33" fillId="0" borderId="0" xfId="1" applyNumberFormat="1" applyFont="1" applyFill="1" applyBorder="1" applyAlignment="1" applyProtection="1">
      <alignment horizontal="center" vertical="center"/>
      <protection locked="0"/>
    </xf>
    <xf numFmtId="0" fontId="34" fillId="0" borderId="0" xfId="1" applyNumberFormat="1" applyFont="1" applyFill="1" applyBorder="1" applyAlignment="1" applyProtection="1">
      <alignment horizontal="center" vertical="center"/>
      <protection hidden="1"/>
    </xf>
    <xf numFmtId="0" fontId="34" fillId="0" borderId="0" xfId="1" applyNumberFormat="1" applyFont="1" applyFill="1" applyBorder="1" applyAlignment="1" applyProtection="1">
      <alignment horizontal="center" vertical="center"/>
      <protection locked="0"/>
    </xf>
    <xf numFmtId="0" fontId="66" fillId="29" borderId="0" xfId="0" applyFont="1" applyFill="1" applyAlignment="1" applyProtection="1">
      <alignment horizontal="center" vertical="center"/>
      <protection hidden="1"/>
    </xf>
    <xf numFmtId="0" fontId="0" fillId="0" borderId="0" xfId="0" applyAlignment="1" applyProtection="1">
      <alignment horizontal="center" vertical="center"/>
      <protection hidden="1"/>
    </xf>
    <xf numFmtId="0" fontId="34" fillId="0" borderId="11" xfId="1" applyNumberFormat="1" applyFont="1" applyFill="1" applyBorder="1" applyAlignment="1" applyProtection="1">
      <alignment horizontal="right" vertical="top"/>
      <protection hidden="1"/>
    </xf>
    <xf numFmtId="0" fontId="34" fillId="0" borderId="11" xfId="1" applyNumberFormat="1" applyFont="1" applyFill="1" applyBorder="1" applyAlignment="1" applyProtection="1">
      <alignment horizontal="center" vertical="center"/>
      <protection locked="0"/>
    </xf>
    <xf numFmtId="0" fontId="34" fillId="0" borderId="11" xfId="1" applyNumberFormat="1" applyFont="1" applyFill="1" applyBorder="1" applyAlignment="1" applyProtection="1">
      <alignment horizontal="center" vertical="center" wrapText="1"/>
      <protection locked="0"/>
    </xf>
    <xf numFmtId="2" fontId="46" fillId="29" borderId="12" xfId="45" applyNumberFormat="1" applyFont="1" applyFill="1" applyBorder="1" applyAlignment="1" applyProtection="1">
      <alignment horizontal="left" vertical="center" wrapText="1"/>
      <protection hidden="1"/>
    </xf>
    <xf numFmtId="2" fontId="42" fillId="29" borderId="13" xfId="45" applyNumberFormat="1" applyFont="1" applyFill="1" applyBorder="1" applyAlignment="1" applyProtection="1">
      <alignment horizontal="left" vertical="center" wrapText="1"/>
      <protection hidden="1"/>
    </xf>
    <xf numFmtId="2" fontId="42" fillId="29" borderId="14" xfId="45" applyNumberFormat="1" applyFont="1" applyFill="1" applyBorder="1" applyAlignment="1" applyProtection="1">
      <alignment horizontal="left" vertical="center" wrapText="1"/>
      <protection hidden="1"/>
    </xf>
    <xf numFmtId="1" fontId="44" fillId="26" borderId="0" xfId="45" applyNumberFormat="1" applyFont="1" applyFill="1" applyBorder="1" applyAlignment="1" applyProtection="1">
      <alignment horizontal="left" vertical="center" wrapText="1"/>
      <protection hidden="1"/>
    </xf>
    <xf numFmtId="2" fontId="44" fillId="27" borderId="36" xfId="45" applyNumberFormat="1" applyFont="1" applyFill="1" applyBorder="1" applyAlignment="1" applyProtection="1">
      <alignment horizontal="left" vertical="center"/>
      <protection hidden="1"/>
    </xf>
    <xf numFmtId="2" fontId="31" fillId="30" borderId="0" xfId="45" applyNumberFormat="1" applyFont="1" applyFill="1" applyBorder="1" applyAlignment="1" applyProtection="1">
      <alignment horizontal="center" vertical="center"/>
      <protection hidden="1"/>
    </xf>
    <xf numFmtId="2" fontId="40" fillId="30" borderId="0" xfId="45" applyNumberFormat="1" applyFont="1" applyFill="1" applyBorder="1" applyAlignment="1" applyProtection="1">
      <alignment horizontal="center" vertical="center"/>
      <protection hidden="1"/>
    </xf>
    <xf numFmtId="1" fontId="57" fillId="27" borderId="0" xfId="45" applyNumberFormat="1" applyFont="1" applyFill="1" applyBorder="1" applyAlignment="1" applyProtection="1">
      <alignment horizontal="left" vertical="center" wrapText="1"/>
      <protection hidden="1"/>
    </xf>
    <xf numFmtId="164" fontId="44" fillId="26" borderId="0" xfId="45" applyNumberFormat="1" applyFont="1" applyFill="1" applyBorder="1" applyAlignment="1" applyProtection="1">
      <alignment horizontal="left" vertical="center"/>
      <protection hidden="1"/>
    </xf>
    <xf numFmtId="2" fontId="50" fillId="28" borderId="12" xfId="45" applyNumberFormat="1" applyFont="1" applyFill="1" applyBorder="1" applyAlignment="1" applyProtection="1">
      <alignment horizontal="left" vertical="center" wrapText="1"/>
      <protection hidden="1"/>
    </xf>
    <xf numFmtId="2" fontId="50" fillId="28" borderId="13" xfId="45" applyNumberFormat="1" applyFont="1" applyFill="1" applyBorder="1" applyAlignment="1" applyProtection="1">
      <alignment horizontal="left" vertical="center" wrapText="1"/>
      <protection hidden="1"/>
    </xf>
    <xf numFmtId="2" fontId="50" fillId="28" borderId="14" xfId="45" applyNumberFormat="1" applyFont="1" applyFill="1" applyBorder="1" applyAlignment="1" applyProtection="1">
      <alignment horizontal="left" vertical="center" wrapText="1"/>
      <protection hidden="1"/>
    </xf>
    <xf numFmtId="0" fontId="39" fillId="0" borderId="12" xfId="125" applyFont="1" applyBorder="1" applyAlignment="1" applyProtection="1">
      <alignment horizontal="left" vertical="center" wrapText="1"/>
      <protection hidden="1"/>
    </xf>
    <xf numFmtId="0" fontId="39" fillId="0" borderId="13" xfId="125" applyFont="1" applyBorder="1" applyAlignment="1" applyProtection="1">
      <alignment horizontal="left" vertical="center" wrapText="1"/>
      <protection hidden="1"/>
    </xf>
    <xf numFmtId="0" fontId="39" fillId="0" borderId="14" xfId="125" applyFont="1" applyBorder="1" applyAlignment="1" applyProtection="1">
      <alignment horizontal="left" vertical="center" wrapText="1"/>
      <protection hidden="1"/>
    </xf>
    <xf numFmtId="0" fontId="25" fillId="0" borderId="10" xfId="125" applyFont="1" applyBorder="1" applyAlignment="1" applyProtection="1">
      <alignment horizontal="center" vertical="center" wrapText="1"/>
      <protection hidden="1"/>
    </xf>
    <xf numFmtId="0" fontId="25" fillId="0" borderId="12" xfId="125" applyFont="1" applyBorder="1" applyAlignment="1" applyProtection="1">
      <alignment horizontal="center" vertical="center" wrapText="1"/>
      <protection hidden="1"/>
    </xf>
    <xf numFmtId="0" fontId="25" fillId="0" borderId="13" xfId="125" applyFont="1" applyBorder="1" applyAlignment="1" applyProtection="1">
      <alignment horizontal="center" vertical="center" wrapText="1"/>
      <protection hidden="1"/>
    </xf>
    <xf numFmtId="0" fontId="25" fillId="0" borderId="14" xfId="125" applyFont="1" applyBorder="1" applyAlignment="1" applyProtection="1">
      <alignment horizontal="center" vertical="center" wrapText="1"/>
      <protection hidden="1"/>
    </xf>
    <xf numFmtId="0" fontId="4" fillId="0" borderId="12" xfId="125" applyFont="1" applyBorder="1" applyAlignment="1" applyProtection="1">
      <alignment horizontal="center" vertical="center" wrapText="1"/>
      <protection hidden="1"/>
    </xf>
    <xf numFmtId="0" fontId="4" fillId="0" borderId="13" xfId="125" applyFont="1" applyBorder="1" applyAlignment="1" applyProtection="1">
      <alignment horizontal="center" vertical="center" wrapText="1"/>
      <protection hidden="1"/>
    </xf>
    <xf numFmtId="0" fontId="4" fillId="0" borderId="14" xfId="125" applyFont="1" applyBorder="1" applyAlignment="1" applyProtection="1">
      <alignment horizontal="center" vertical="center" wrapText="1"/>
      <protection hidden="1"/>
    </xf>
    <xf numFmtId="0" fontId="39" fillId="0" borderId="10" xfId="38" applyFont="1" applyFill="1" applyBorder="1" applyAlignment="1" applyProtection="1">
      <alignment vertical="center" wrapText="1"/>
      <protection hidden="1"/>
    </xf>
    <xf numFmtId="0" fontId="39" fillId="0" borderId="10" xfId="125" applyFont="1" applyBorder="1" applyAlignment="1" applyProtection="1">
      <alignment horizontal="center" vertical="center" wrapText="1"/>
      <protection hidden="1"/>
    </xf>
    <xf numFmtId="164" fontId="39" fillId="0" borderId="10" xfId="125" applyNumberFormat="1" applyFont="1" applyBorder="1" applyAlignment="1" applyProtection="1">
      <alignment horizontal="center" vertical="center" wrapText="1"/>
      <protection hidden="1"/>
    </xf>
    <xf numFmtId="0" fontId="39" fillId="0" borderId="10" xfId="38" applyFont="1" applyBorder="1" applyAlignment="1" applyProtection="1">
      <alignment horizontal="left" vertical="center" wrapText="1"/>
      <protection hidden="1"/>
    </xf>
    <xf numFmtId="0" fontId="39" fillId="0" borderId="10" xfId="38" applyFont="1" applyFill="1" applyBorder="1" applyAlignment="1" applyProtection="1">
      <alignment horizontal="left" vertical="center" wrapText="1"/>
      <protection hidden="1"/>
    </xf>
    <xf numFmtId="0" fontId="39" fillId="0" borderId="18" xfId="125" applyFont="1" applyBorder="1" applyAlignment="1" applyProtection="1">
      <alignment horizontal="left" vertical="center" wrapText="1"/>
      <protection hidden="1"/>
    </xf>
    <xf numFmtId="0" fontId="39" fillId="0" borderId="19" xfId="125" applyFont="1" applyBorder="1" applyAlignment="1" applyProtection="1">
      <alignment horizontal="left" vertical="center" wrapText="1"/>
      <protection hidden="1"/>
    </xf>
    <xf numFmtId="0" fontId="39" fillId="0" borderId="16" xfId="125" applyFont="1" applyBorder="1" applyAlignment="1" applyProtection="1">
      <alignment horizontal="left" vertical="center" wrapText="1"/>
      <protection hidden="1"/>
    </xf>
    <xf numFmtId="0" fontId="39" fillId="0" borderId="20" xfId="125" applyFont="1" applyBorder="1" applyAlignment="1" applyProtection="1">
      <alignment horizontal="left" vertical="center" wrapText="1"/>
      <protection hidden="1"/>
    </xf>
    <xf numFmtId="2" fontId="39" fillId="0" borderId="12" xfId="88" applyNumberFormat="1" applyFont="1" applyBorder="1" applyAlignment="1" applyProtection="1">
      <alignment horizontal="left" vertical="center" wrapText="1"/>
      <protection hidden="1"/>
    </xf>
    <xf numFmtId="2" fontId="39" fillId="0" borderId="13" xfId="88" applyNumberFormat="1" applyFont="1" applyBorder="1" applyAlignment="1" applyProtection="1">
      <alignment horizontal="left" vertical="center" wrapText="1"/>
      <protection hidden="1"/>
    </xf>
    <xf numFmtId="2" fontId="39" fillId="0" borderId="14" xfId="88" applyNumberFormat="1" applyFont="1" applyBorder="1" applyAlignment="1" applyProtection="1">
      <alignment horizontal="left" vertical="center" wrapText="1"/>
      <protection hidden="1"/>
    </xf>
    <xf numFmtId="9" fontId="25" fillId="0" borderId="10" xfId="125" applyNumberFormat="1" applyFont="1" applyBorder="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39" fillId="0" borderId="23" xfId="125" applyFont="1" applyBorder="1" applyAlignment="1" applyProtection="1">
      <alignment horizontal="center" vertical="center" wrapText="1"/>
      <protection hidden="1"/>
    </xf>
    <xf numFmtId="0" fontId="39" fillId="0" borderId="24" xfId="125" applyFont="1" applyBorder="1" applyAlignment="1" applyProtection="1">
      <alignment horizontal="center" vertical="center" wrapText="1"/>
      <protection hidden="1"/>
    </xf>
    <xf numFmtId="0" fontId="39" fillId="0" borderId="25" xfId="125" applyFont="1" applyBorder="1" applyAlignment="1" applyProtection="1">
      <alignment horizontal="center" vertical="center" wrapText="1"/>
      <protection hidden="1"/>
    </xf>
    <xf numFmtId="0" fontId="50" fillId="0" borderId="10" xfId="125" applyFont="1" applyBorder="1" applyAlignment="1" applyProtection="1">
      <alignment horizontal="left" vertical="center" wrapText="1"/>
      <protection hidden="1"/>
    </xf>
    <xf numFmtId="0" fontId="50" fillId="0" borderId="21" xfId="125" applyFont="1" applyBorder="1" applyAlignment="1" applyProtection="1">
      <alignment horizontal="left" vertical="center" wrapText="1"/>
      <protection hidden="1"/>
    </xf>
    <xf numFmtId="0" fontId="39" fillId="0" borderId="10" xfId="125" applyFont="1" applyBorder="1" applyAlignment="1" applyProtection="1">
      <alignment horizontal="left" vertical="center" wrapText="1"/>
      <protection hidden="1"/>
    </xf>
    <xf numFmtId="0" fontId="53" fillId="0" borderId="13" xfId="125" applyFont="1" applyBorder="1" applyAlignment="1" applyProtection="1">
      <alignment horizontal="left" vertical="center" wrapText="1"/>
      <protection hidden="1"/>
    </xf>
    <xf numFmtId="0" fontId="53" fillId="0" borderId="14" xfId="125" applyFont="1" applyBorder="1" applyAlignment="1" applyProtection="1">
      <alignment horizontal="left" vertical="center" wrapText="1"/>
      <protection hidden="1"/>
    </xf>
    <xf numFmtId="0" fontId="50" fillId="0" borderId="12" xfId="125" applyFont="1" applyBorder="1" applyAlignment="1" applyProtection="1">
      <alignment horizontal="right" vertical="center" wrapText="1"/>
      <protection hidden="1"/>
    </xf>
    <xf numFmtId="0" fontId="54" fillId="0" borderId="13" xfId="125" applyFont="1" applyBorder="1" applyAlignment="1" applyProtection="1">
      <alignment horizontal="right" vertical="center" wrapText="1"/>
      <protection hidden="1"/>
    </xf>
    <xf numFmtId="0" fontId="54" fillId="0" borderId="14" xfId="125" applyFont="1" applyBorder="1" applyAlignment="1" applyProtection="1">
      <alignment horizontal="right" vertical="center" wrapText="1"/>
      <protection hidden="1"/>
    </xf>
    <xf numFmtId="2" fontId="50" fillId="0" borderId="10" xfId="88" applyNumberFormat="1" applyFont="1" applyBorder="1" applyAlignment="1" applyProtection="1">
      <alignment horizontal="left" vertical="center" wrapText="1"/>
      <protection hidden="1"/>
    </xf>
    <xf numFmtId="2" fontId="54" fillId="0" borderId="10" xfId="88" applyNumberFormat="1" applyFont="1" applyBorder="1" applyAlignment="1" applyProtection="1">
      <alignment horizontal="left" vertical="center" wrapText="1"/>
      <protection hidden="1"/>
    </xf>
    <xf numFmtId="2" fontId="54" fillId="0" borderId="12" xfId="88" applyNumberFormat="1" applyFont="1" applyBorder="1" applyAlignment="1" applyProtection="1">
      <alignment horizontal="left" vertical="center" wrapText="1"/>
      <protection hidden="1"/>
    </xf>
    <xf numFmtId="2" fontId="54" fillId="0" borderId="13" xfId="88" applyNumberFormat="1" applyFont="1" applyBorder="1" applyAlignment="1" applyProtection="1">
      <alignment horizontal="left" vertical="center" wrapText="1"/>
      <protection hidden="1"/>
    </xf>
    <xf numFmtId="2" fontId="54" fillId="0" borderId="14" xfId="88" applyNumberFormat="1" applyFont="1" applyBorder="1" applyAlignment="1" applyProtection="1">
      <alignment horizontal="left" vertical="center" wrapText="1"/>
      <protection hidden="1"/>
    </xf>
    <xf numFmtId="0" fontId="39" fillId="0" borderId="21" xfId="125" applyFont="1" applyBorder="1" applyAlignment="1" applyProtection="1">
      <alignment horizontal="left" vertical="center" wrapText="1"/>
      <protection hidden="1"/>
    </xf>
    <xf numFmtId="0" fontId="50" fillId="0" borderId="10" xfId="125" applyFont="1" applyBorder="1" applyAlignment="1" applyProtection="1">
      <alignment horizontal="center" vertical="center" wrapText="1"/>
      <protection hidden="1"/>
    </xf>
    <xf numFmtId="0" fontId="50" fillId="0" borderId="12" xfId="125" applyFont="1" applyBorder="1" applyAlignment="1" applyProtection="1">
      <alignment horizontal="center" vertical="center" wrapText="1"/>
      <protection hidden="1"/>
    </xf>
    <xf numFmtId="0" fontId="50" fillId="0" borderId="13" xfId="125" applyFont="1" applyBorder="1" applyAlignment="1" applyProtection="1">
      <alignment horizontal="center" vertical="center" wrapText="1"/>
      <protection hidden="1"/>
    </xf>
    <xf numFmtId="0" fontId="50" fillId="0" borderId="14" xfId="125" applyFont="1" applyBorder="1" applyAlignment="1" applyProtection="1">
      <alignment horizontal="center" vertical="center" wrapText="1"/>
      <protection hidden="1"/>
    </xf>
    <xf numFmtId="0" fontId="55" fillId="0" borderId="27" xfId="125" applyFont="1" applyBorder="1" applyAlignment="1" applyProtection="1">
      <alignment horizontal="right" vertical="center" wrapText="1"/>
      <protection hidden="1"/>
    </xf>
    <xf numFmtId="0" fontId="55" fillId="0" borderId="28" xfId="125" applyFont="1" applyBorder="1" applyAlignment="1" applyProtection="1">
      <alignment horizontal="right" vertical="center" wrapText="1"/>
      <protection hidden="1"/>
    </xf>
    <xf numFmtId="0" fontId="54" fillId="0" borderId="10" xfId="125" applyFont="1" applyBorder="1" applyAlignment="1" applyProtection="1">
      <alignment horizontal="left" vertical="center" wrapText="1"/>
      <protection hidden="1"/>
    </xf>
    <xf numFmtId="0" fontId="50" fillId="0" borderId="17" xfId="38" applyFont="1" applyBorder="1" applyAlignment="1" applyProtection="1">
      <alignment horizontal="center" vertical="center" wrapText="1"/>
      <protection hidden="1"/>
    </xf>
    <xf numFmtId="0" fontId="50" fillId="0" borderId="19" xfId="38" applyFont="1" applyBorder="1" applyAlignment="1" applyProtection="1">
      <alignment horizontal="center" vertical="center" wrapText="1"/>
      <protection hidden="1"/>
    </xf>
    <xf numFmtId="0" fontId="50" fillId="0" borderId="11" xfId="38" applyFont="1" applyBorder="1" applyAlignment="1" applyProtection="1">
      <alignment horizontal="center" vertical="center" wrapText="1"/>
      <protection hidden="1"/>
    </xf>
    <xf numFmtId="0" fontId="50" fillId="0" borderId="20" xfId="38" applyFont="1" applyBorder="1" applyAlignment="1" applyProtection="1">
      <alignment horizontal="center" vertical="center" wrapText="1"/>
      <protection hidden="1"/>
    </xf>
    <xf numFmtId="0" fontId="39" fillId="0" borderId="12" xfId="38" applyFont="1" applyBorder="1" applyAlignment="1" applyProtection="1">
      <alignment horizontal="left" vertical="center"/>
      <protection hidden="1"/>
    </xf>
    <xf numFmtId="0" fontId="39" fillId="0" borderId="13" xfId="38" applyFont="1" applyBorder="1" applyAlignment="1" applyProtection="1">
      <alignment horizontal="left" vertical="center"/>
      <protection hidden="1"/>
    </xf>
    <xf numFmtId="0" fontId="39" fillId="0" borderId="14" xfId="38" applyFont="1" applyBorder="1" applyAlignment="1" applyProtection="1">
      <alignment horizontal="left" vertical="center"/>
      <protection hidden="1"/>
    </xf>
    <xf numFmtId="0" fontId="39" fillId="0" borderId="12" xfId="38" applyFont="1" applyFill="1" applyBorder="1" applyAlignment="1" applyProtection="1">
      <alignment horizontal="left" vertical="center" wrapText="1"/>
      <protection hidden="1"/>
    </xf>
    <xf numFmtId="0" fontId="39" fillId="0" borderId="13" xfId="38" applyFont="1" applyFill="1" applyBorder="1" applyAlignment="1" applyProtection="1">
      <alignment horizontal="left" vertical="center" wrapText="1"/>
      <protection hidden="1"/>
    </xf>
    <xf numFmtId="0" fontId="39" fillId="0" borderId="14" xfId="38" applyFont="1" applyFill="1" applyBorder="1" applyAlignment="1" applyProtection="1">
      <alignment horizontal="left" vertical="center" wrapText="1"/>
      <protection hidden="1"/>
    </xf>
    <xf numFmtId="0" fontId="53" fillId="0" borderId="10" xfId="125" applyFont="1" applyBorder="1" applyAlignment="1" applyProtection="1">
      <alignment horizontal="right" vertical="center" wrapText="1"/>
      <protection hidden="1"/>
    </xf>
    <xf numFmtId="2" fontId="50" fillId="0" borderId="12" xfId="88" applyNumberFormat="1" applyFont="1" applyBorder="1" applyAlignment="1" applyProtection="1">
      <alignment horizontal="left" vertical="center" wrapText="1"/>
      <protection hidden="1"/>
    </xf>
    <xf numFmtId="0" fontId="4" fillId="0" borderId="12" xfId="125" applyFont="1" applyBorder="1" applyAlignment="1" applyProtection="1">
      <alignment horizontal="left" vertical="center" wrapText="1"/>
      <protection hidden="1"/>
    </xf>
    <xf numFmtId="0" fontId="4" fillId="0" borderId="13" xfId="125" applyFont="1" applyBorder="1" applyAlignment="1" applyProtection="1">
      <alignment horizontal="left" vertical="center" wrapText="1"/>
      <protection hidden="1"/>
    </xf>
    <xf numFmtId="0" fontId="4" fillId="0" borderId="14" xfId="125" applyFont="1" applyBorder="1" applyAlignment="1" applyProtection="1">
      <alignment horizontal="left" vertical="center" wrapText="1"/>
      <protection hidden="1"/>
    </xf>
    <xf numFmtId="0" fontId="50" fillId="0" borderId="10" xfId="125" applyFont="1" applyBorder="1" applyAlignment="1" applyProtection="1">
      <alignment horizontal="right" vertical="center" wrapText="1"/>
      <protection hidden="1"/>
    </xf>
    <xf numFmtId="0" fontId="54" fillId="0" borderId="10" xfId="125" applyFont="1" applyBorder="1" applyAlignment="1" applyProtection="1">
      <alignment horizontal="right" vertical="center" wrapText="1"/>
      <protection hidden="1"/>
    </xf>
    <xf numFmtId="0" fontId="39" fillId="0" borderId="10" xfId="125" applyFont="1" applyBorder="1" applyAlignment="1" applyProtection="1">
      <alignment horizontal="right" vertical="center" wrapText="1"/>
      <protection hidden="1"/>
    </xf>
    <xf numFmtId="0" fontId="27" fillId="0" borderId="0" xfId="125" applyFont="1" applyAlignment="1" applyProtection="1">
      <alignment horizontal="center" vertical="center" wrapText="1"/>
      <protection hidden="1"/>
    </xf>
    <xf numFmtId="0" fontId="68" fillId="0" borderId="0" xfId="125" applyFont="1" applyBorder="1" applyAlignment="1" applyProtection="1">
      <alignment horizontal="center" vertical="center" wrapText="1"/>
      <protection hidden="1"/>
    </xf>
    <xf numFmtId="0" fontId="60" fillId="0" borderId="31" xfId="38" applyFont="1" applyBorder="1" applyAlignment="1" applyProtection="1">
      <alignment horizontal="left" vertical="center"/>
      <protection hidden="1"/>
    </xf>
    <xf numFmtId="0" fontId="60" fillId="0" borderId="32" xfId="38" applyFont="1" applyBorder="1" applyAlignment="1" applyProtection="1">
      <alignment horizontal="left" vertical="center"/>
      <protection hidden="1"/>
    </xf>
    <xf numFmtId="0" fontId="39" fillId="0" borderId="15" xfId="125" applyFont="1" applyBorder="1" applyAlignment="1" applyProtection="1">
      <alignment horizontal="left" vertical="center" wrapText="1"/>
      <protection hidden="1"/>
    </xf>
    <xf numFmtId="0" fontId="53" fillId="0" borderId="10" xfId="125" applyFont="1" applyBorder="1" applyAlignment="1" applyProtection="1">
      <alignment horizontal="left" vertical="center" wrapText="1"/>
      <protection hidden="1"/>
    </xf>
    <xf numFmtId="0" fontId="67" fillId="0" borderId="10" xfId="125" applyFont="1" applyBorder="1" applyAlignment="1" applyProtection="1">
      <alignment horizontal="center" vertical="center" wrapText="1"/>
      <protection hidden="1"/>
    </xf>
    <xf numFmtId="0" fontId="52" fillId="0" borderId="32" xfId="39" applyFont="1" applyFill="1" applyBorder="1" applyAlignment="1" applyProtection="1">
      <alignment horizontal="left" vertical="center" wrapText="1"/>
      <protection hidden="1"/>
    </xf>
    <xf numFmtId="0" fontId="39" fillId="0" borderId="35" xfId="125" applyFont="1" applyBorder="1" applyAlignment="1" applyProtection="1">
      <alignment horizontal="center" vertical="center" wrapText="1"/>
      <protection hidden="1"/>
    </xf>
    <xf numFmtId="0" fontId="39" fillId="0" borderId="34" xfId="125" applyFont="1" applyBorder="1" applyAlignment="1" applyProtection="1">
      <alignment horizontal="center" vertical="center" wrapText="1"/>
      <protection hidden="1"/>
    </xf>
    <xf numFmtId="0" fontId="52" fillId="0" borderId="32" xfId="125" applyFont="1" applyFill="1" applyBorder="1" applyAlignment="1" applyProtection="1">
      <alignment horizontal="left" vertical="center" wrapText="1"/>
      <protection hidden="1"/>
    </xf>
    <xf numFmtId="0" fontId="50" fillId="0" borderId="32" xfId="38" applyFont="1" applyBorder="1" applyAlignment="1" applyProtection="1">
      <alignment horizontal="center" vertical="center"/>
      <protection hidden="1"/>
    </xf>
    <xf numFmtId="0" fontId="50" fillId="0" borderId="37" xfId="38" applyFont="1" applyBorder="1" applyAlignment="1" applyProtection="1">
      <alignment horizontal="center" vertical="center"/>
      <protection hidden="1"/>
    </xf>
    <xf numFmtId="0" fontId="54" fillId="0" borderId="21" xfId="125" applyFont="1" applyBorder="1" applyAlignment="1" applyProtection="1">
      <alignment horizontal="left" vertical="center" wrapText="1"/>
      <protection hidden="1"/>
    </xf>
    <xf numFmtId="0" fontId="4" fillId="0" borderId="10" xfId="125" applyFont="1" applyBorder="1" applyAlignment="1" applyProtection="1">
      <alignment horizontal="left" vertical="center" wrapText="1"/>
      <protection hidden="1"/>
    </xf>
    <xf numFmtId="0" fontId="4" fillId="0" borderId="21" xfId="125" applyFont="1" applyBorder="1" applyAlignment="1" applyProtection="1">
      <alignment horizontal="left" vertical="center" wrapText="1"/>
      <protection hidden="1"/>
    </xf>
    <xf numFmtId="0" fontId="34" fillId="0" borderId="13" xfId="125" applyFont="1" applyBorder="1" applyAlignment="1" applyProtection="1">
      <alignment horizontal="right" vertical="center" wrapText="1"/>
      <protection hidden="1"/>
    </xf>
    <xf numFmtId="0" fontId="34" fillId="0" borderId="14" xfId="125" applyFont="1" applyBorder="1" applyAlignment="1" applyProtection="1">
      <alignment horizontal="right" vertical="center" wrapText="1"/>
      <protection hidden="1"/>
    </xf>
    <xf numFmtId="0" fontId="39" fillId="0" borderId="33" xfId="125" applyFont="1" applyBorder="1" applyAlignment="1" applyProtection="1">
      <alignment horizontal="center" vertical="center" wrapText="1"/>
      <protection hidden="1"/>
    </xf>
    <xf numFmtId="0" fontId="39" fillId="0" borderId="21" xfId="125" applyFont="1" applyBorder="1" applyAlignment="1" applyProtection="1">
      <alignment horizontal="center" vertical="center" wrapText="1"/>
      <protection hidden="1"/>
    </xf>
    <xf numFmtId="0" fontId="39" fillId="0" borderId="22" xfId="125" applyFont="1" applyBorder="1" applyAlignment="1" applyProtection="1">
      <alignment horizontal="center" vertical="center" wrapText="1"/>
      <protection hidden="1"/>
    </xf>
    <xf numFmtId="164" fontId="39" fillId="0" borderId="12" xfId="125" applyNumberFormat="1" applyFont="1" applyBorder="1" applyAlignment="1" applyProtection="1">
      <alignment horizontal="center" vertical="center" wrapText="1"/>
      <protection hidden="1"/>
    </xf>
    <xf numFmtId="164" fontId="39" fillId="0" borderId="13" xfId="125" applyNumberFormat="1" applyFont="1" applyBorder="1" applyAlignment="1" applyProtection="1">
      <alignment horizontal="center" vertical="center" wrapText="1"/>
      <protection hidden="1"/>
    </xf>
    <xf numFmtId="164" fontId="39" fillId="0" borderId="14" xfId="125" applyNumberFormat="1" applyFont="1" applyBorder="1" applyAlignment="1" applyProtection="1">
      <alignment horizontal="center" vertical="center" wrapText="1"/>
      <protection hidden="1"/>
    </xf>
    <xf numFmtId="0" fontId="39" fillId="0" borderId="12" xfId="125" applyFont="1" applyBorder="1" applyAlignment="1" applyProtection="1">
      <alignment horizontal="center" vertical="center" wrapText="1"/>
      <protection hidden="1"/>
    </xf>
    <xf numFmtId="0" fontId="39" fillId="0" borderId="13" xfId="125" applyFont="1" applyBorder="1" applyAlignment="1" applyProtection="1">
      <alignment horizontal="center" vertical="center" wrapText="1"/>
      <protection hidden="1"/>
    </xf>
    <xf numFmtId="0" fontId="39" fillId="0" borderId="14" xfId="125" applyFont="1" applyBorder="1" applyAlignment="1" applyProtection="1">
      <alignment horizontal="center" vertical="center" wrapText="1"/>
      <protection hidden="1"/>
    </xf>
    <xf numFmtId="2" fontId="42" fillId="28" borderId="36" xfId="45" applyNumberFormat="1" applyFont="1" applyFill="1" applyBorder="1" applyAlignment="1" applyProtection="1">
      <alignment horizontal="center" vertical="top" wrapText="1"/>
      <protection hidden="1"/>
    </xf>
    <xf numFmtId="2" fontId="42" fillId="28" borderId="0" xfId="45" applyNumberFormat="1" applyFont="1" applyFill="1" applyBorder="1" applyAlignment="1" applyProtection="1">
      <alignment horizontal="center" vertical="top" wrapText="1"/>
      <protection hidden="1"/>
    </xf>
    <xf numFmtId="2" fontId="46" fillId="29" borderId="36" xfId="45" applyNumberFormat="1" applyFont="1" applyFill="1" applyBorder="1" applyAlignment="1" applyProtection="1">
      <alignment horizontal="center" vertical="top" wrapText="1"/>
      <protection hidden="1"/>
    </xf>
    <xf numFmtId="2" fontId="46" fillId="29" borderId="0" xfId="45" applyNumberFormat="1" applyFont="1" applyFill="1" applyBorder="1" applyAlignment="1" applyProtection="1">
      <alignment horizontal="center" vertical="top" wrapText="1"/>
      <protection hidden="1"/>
    </xf>
    <xf numFmtId="0" fontId="45" fillId="28" borderId="0" xfId="0" applyFont="1" applyFill="1" applyAlignment="1" applyProtection="1">
      <alignment horizontal="center"/>
      <protection hidden="1"/>
    </xf>
    <xf numFmtId="0" fontId="45" fillId="32" borderId="10" xfId="0" applyFont="1" applyFill="1" applyBorder="1" applyAlignment="1" applyProtection="1">
      <alignment horizontal="left"/>
      <protection hidden="1"/>
    </xf>
    <xf numFmtId="0" fontId="63" fillId="33" borderId="10" xfId="0" applyFont="1" applyFill="1" applyBorder="1" applyAlignment="1" applyProtection="1">
      <alignment horizontal="center"/>
      <protection hidden="1"/>
    </xf>
    <xf numFmtId="9" fontId="63" fillId="32" borderId="10" xfId="0" applyNumberFormat="1" applyFont="1" applyFill="1" applyBorder="1" applyAlignment="1" applyProtection="1">
      <alignment horizontal="center" vertical="center"/>
      <protection hidden="1"/>
    </xf>
    <xf numFmtId="0" fontId="63" fillId="32" borderId="10" xfId="0" applyFont="1" applyFill="1" applyBorder="1" applyAlignment="1" applyProtection="1">
      <alignment horizontal="center" vertical="center"/>
      <protection hidden="1"/>
    </xf>
    <xf numFmtId="0" fontId="45" fillId="33" borderId="10" xfId="0" applyFont="1" applyFill="1" applyBorder="1" applyAlignment="1" applyProtection="1">
      <alignment horizontal="left"/>
      <protection hidden="1"/>
    </xf>
    <xf numFmtId="0" fontId="62" fillId="0" borderId="18" xfId="0" applyFont="1" applyBorder="1" applyAlignment="1" applyProtection="1">
      <alignment horizontal="center" vertical="center"/>
      <protection hidden="1"/>
    </xf>
    <xf numFmtId="0" fontId="62" fillId="0" borderId="17" xfId="0" applyFont="1" applyBorder="1" applyAlignment="1" applyProtection="1">
      <alignment horizontal="center" vertical="center"/>
      <protection hidden="1"/>
    </xf>
    <xf numFmtId="0" fontId="62" fillId="0" borderId="19" xfId="0" applyFont="1" applyBorder="1" applyAlignment="1" applyProtection="1">
      <alignment horizontal="center" vertical="center"/>
      <protection hidden="1"/>
    </xf>
    <xf numFmtId="0" fontId="62" fillId="0" borderId="16" xfId="0" applyFont="1" applyBorder="1" applyAlignment="1" applyProtection="1">
      <alignment horizontal="center" vertical="center"/>
      <protection hidden="1"/>
    </xf>
    <xf numFmtId="0" fontId="62" fillId="0" borderId="11" xfId="0" applyFont="1" applyBorder="1" applyAlignment="1" applyProtection="1">
      <alignment horizontal="center" vertical="center"/>
      <protection hidden="1"/>
    </xf>
    <xf numFmtId="0" fontId="62" fillId="0" borderId="20" xfId="0" applyFont="1" applyBorder="1" applyAlignment="1" applyProtection="1">
      <alignment horizontal="center" vertical="center"/>
      <protection hidden="1"/>
    </xf>
    <xf numFmtId="0" fontId="62" fillId="0" borderId="38" xfId="0" applyFont="1" applyBorder="1" applyAlignment="1" applyProtection="1">
      <alignment horizontal="center" vertical="center"/>
      <protection hidden="1"/>
    </xf>
    <xf numFmtId="0" fontId="62" fillId="0" borderId="15" xfId="0" applyFont="1" applyBorder="1" applyAlignment="1" applyProtection="1">
      <alignment horizontal="center" vertical="center"/>
      <protection hidden="1"/>
    </xf>
    <xf numFmtId="0" fontId="65" fillId="0" borderId="18" xfId="0" applyFont="1" applyBorder="1" applyAlignment="1" applyProtection="1">
      <alignment horizontal="center" vertical="center"/>
      <protection hidden="1"/>
    </xf>
    <xf numFmtId="0" fontId="65" fillId="0" borderId="19" xfId="0" applyFont="1" applyBorder="1" applyAlignment="1" applyProtection="1">
      <alignment horizontal="center" vertical="center"/>
      <protection hidden="1"/>
    </xf>
    <xf numFmtId="0" fontId="65" fillId="0" borderId="16" xfId="0" applyFont="1" applyBorder="1" applyAlignment="1" applyProtection="1">
      <alignment horizontal="center" vertical="center"/>
      <protection hidden="1"/>
    </xf>
    <xf numFmtId="0" fontId="65" fillId="0" borderId="20" xfId="0" applyFont="1" applyBorder="1" applyAlignment="1" applyProtection="1">
      <alignment horizontal="center" vertical="center"/>
      <protection hidden="1"/>
    </xf>
    <xf numFmtId="0" fontId="63" fillId="0" borderId="38" xfId="0" applyFont="1" applyBorder="1" applyAlignment="1" applyProtection="1">
      <alignment horizontal="center" vertical="center"/>
      <protection hidden="1"/>
    </xf>
    <xf numFmtId="0" fontId="63" fillId="0" borderId="15" xfId="0" applyFont="1" applyBorder="1" applyAlignment="1" applyProtection="1">
      <alignment horizontal="center" vertical="center"/>
      <protection hidden="1"/>
    </xf>
    <xf numFmtId="0" fontId="45" fillId="34" borderId="10" xfId="0" applyFont="1" applyFill="1" applyBorder="1" applyAlignment="1" applyProtection="1">
      <alignment horizontal="left"/>
      <protection hidden="1"/>
    </xf>
    <xf numFmtId="9" fontId="63" fillId="34" borderId="12" xfId="0" applyNumberFormat="1" applyFont="1" applyFill="1" applyBorder="1" applyAlignment="1" applyProtection="1">
      <alignment horizontal="center" vertical="center"/>
      <protection hidden="1"/>
    </xf>
    <xf numFmtId="9" fontId="63" fillId="34" borderId="14" xfId="0" applyNumberFormat="1" applyFont="1" applyFill="1" applyBorder="1" applyAlignment="1" applyProtection="1">
      <alignment horizontal="center" vertical="center"/>
      <protection hidden="1"/>
    </xf>
    <xf numFmtId="9" fontId="63" fillId="33" borderId="10" xfId="0" applyNumberFormat="1" applyFont="1" applyFill="1" applyBorder="1" applyAlignment="1" applyProtection="1">
      <alignment horizontal="center" vertical="center"/>
      <protection hidden="1"/>
    </xf>
    <xf numFmtId="0" fontId="63" fillId="33" borderId="10" xfId="0" applyFont="1" applyFill="1" applyBorder="1" applyAlignment="1" applyProtection="1">
      <alignment horizontal="center" vertical="center"/>
      <protection hidden="1"/>
    </xf>
    <xf numFmtId="9" fontId="63" fillId="33" borderId="12" xfId="0" applyNumberFormat="1" applyFont="1" applyFill="1" applyBorder="1" applyAlignment="1" applyProtection="1">
      <alignment horizontal="center" vertical="center"/>
      <protection hidden="1"/>
    </xf>
    <xf numFmtId="9" fontId="63" fillId="33" borderId="14" xfId="0" applyNumberFormat="1" applyFont="1" applyFill="1" applyBorder="1" applyAlignment="1" applyProtection="1">
      <alignment horizontal="center" vertical="center"/>
      <protection hidden="1"/>
    </xf>
    <xf numFmtId="9" fontId="63" fillId="32" borderId="12" xfId="0" applyNumberFormat="1" applyFont="1" applyFill="1" applyBorder="1" applyAlignment="1" applyProtection="1">
      <alignment horizontal="center" vertical="center"/>
      <protection hidden="1"/>
    </xf>
    <xf numFmtId="9" fontId="63" fillId="32" borderId="14" xfId="0" applyNumberFormat="1" applyFont="1" applyFill="1" applyBorder="1" applyAlignment="1" applyProtection="1">
      <alignment horizontal="center" vertical="center"/>
      <protection hidden="1"/>
    </xf>
  </cellXfs>
  <cellStyles count="131">
    <cellStyle name="20% - Accent1 2" xfId="2"/>
    <cellStyle name="20% - Accent1 3" xfId="46"/>
    <cellStyle name="20% - Accent1 4" xfId="89"/>
    <cellStyle name="20% - Accent2 2" xfId="3"/>
    <cellStyle name="20% - Accent2 3" xfId="47"/>
    <cellStyle name="20% - Accent2 4" xfId="90"/>
    <cellStyle name="20% - Accent3 2" xfId="4"/>
    <cellStyle name="20% - Accent3 3" xfId="48"/>
    <cellStyle name="20% - Accent3 4" xfId="91"/>
    <cellStyle name="20% - Accent4 2" xfId="5"/>
    <cellStyle name="20% - Accent4 3" xfId="49"/>
    <cellStyle name="20% - Accent4 4" xfId="92"/>
    <cellStyle name="20% - Accent5 2" xfId="6"/>
    <cellStyle name="20% - Accent5 3" xfId="50"/>
    <cellStyle name="20% - Accent5 4" xfId="93"/>
    <cellStyle name="20% - Accent6 2" xfId="7"/>
    <cellStyle name="20% - Accent6 3" xfId="51"/>
    <cellStyle name="20% - Accent6 4" xfId="94"/>
    <cellStyle name="40% - Accent1 2" xfId="8"/>
    <cellStyle name="40% - Accent1 3" xfId="52"/>
    <cellStyle name="40% - Accent1 4" xfId="95"/>
    <cellStyle name="40% - Accent2 2" xfId="9"/>
    <cellStyle name="40% - Accent2 3" xfId="53"/>
    <cellStyle name="40% - Accent2 4" xfId="96"/>
    <cellStyle name="40% - Accent3 2" xfId="10"/>
    <cellStyle name="40% - Accent3 3" xfId="54"/>
    <cellStyle name="40% - Accent3 4" xfId="97"/>
    <cellStyle name="40% - Accent4 2" xfId="11"/>
    <cellStyle name="40% - Accent4 3" xfId="55"/>
    <cellStyle name="40% - Accent4 4" xfId="98"/>
    <cellStyle name="40% - Accent5 2" xfId="12"/>
    <cellStyle name="40% - Accent5 3" xfId="56"/>
    <cellStyle name="40% - Accent5 4" xfId="99"/>
    <cellStyle name="40% - Accent6 2" xfId="13"/>
    <cellStyle name="40% - Accent6 3" xfId="57"/>
    <cellStyle name="40% - Accent6 4" xfId="100"/>
    <cellStyle name="60% - Accent1 2" xfId="14"/>
    <cellStyle name="60% - Accent1 3" xfId="58"/>
    <cellStyle name="60% - Accent1 4" xfId="101"/>
    <cellStyle name="60% - Accent2 2" xfId="15"/>
    <cellStyle name="60% - Accent2 3" xfId="59"/>
    <cellStyle name="60% - Accent2 4" xfId="102"/>
    <cellStyle name="60% - Accent3 2" xfId="16"/>
    <cellStyle name="60% - Accent3 3" xfId="60"/>
    <cellStyle name="60% - Accent3 4" xfId="103"/>
    <cellStyle name="60% - Accent4 2" xfId="17"/>
    <cellStyle name="60% - Accent4 3" xfId="61"/>
    <cellStyle name="60% - Accent4 4" xfId="104"/>
    <cellStyle name="60% - Accent5 2" xfId="18"/>
    <cellStyle name="60% - Accent5 3" xfId="62"/>
    <cellStyle name="60% - Accent5 4" xfId="105"/>
    <cellStyle name="60% - Accent6 2" xfId="19"/>
    <cellStyle name="60% - Accent6 3" xfId="63"/>
    <cellStyle name="60% - Accent6 4" xfId="106"/>
    <cellStyle name="Accent1 2" xfId="20"/>
    <cellStyle name="Accent1 3" xfId="64"/>
    <cellStyle name="Accent1 4" xfId="107"/>
    <cellStyle name="Accent2 2" xfId="21"/>
    <cellStyle name="Accent2 3" xfId="65"/>
    <cellStyle name="Accent2 4" xfId="108"/>
    <cellStyle name="Accent3 2" xfId="22"/>
    <cellStyle name="Accent3 3" xfId="66"/>
    <cellStyle name="Accent3 4" xfId="109"/>
    <cellStyle name="Accent4 2" xfId="23"/>
    <cellStyle name="Accent4 3" xfId="67"/>
    <cellStyle name="Accent4 4" xfId="110"/>
    <cellStyle name="Accent5 2" xfId="24"/>
    <cellStyle name="Accent5 3" xfId="68"/>
    <cellStyle name="Accent5 4" xfId="111"/>
    <cellStyle name="Accent6 2" xfId="25"/>
    <cellStyle name="Accent6 3" xfId="69"/>
    <cellStyle name="Accent6 4" xfId="112"/>
    <cellStyle name="Bad 2" xfId="26"/>
    <cellStyle name="Bad 3" xfId="70"/>
    <cellStyle name="Bad 4" xfId="113"/>
    <cellStyle name="Calculation 2" xfId="27"/>
    <cellStyle name="Calculation 3" xfId="71"/>
    <cellStyle name="Calculation 4" xfId="114"/>
    <cellStyle name="Check Cell 2" xfId="28"/>
    <cellStyle name="Check Cell 3" xfId="72"/>
    <cellStyle name="Check Cell 4" xfId="115"/>
    <cellStyle name="Explanatory Text 2" xfId="29"/>
    <cellStyle name="Explanatory Text 3" xfId="73"/>
    <cellStyle name="Explanatory Text 4" xfId="116"/>
    <cellStyle name="Good 2" xfId="30"/>
    <cellStyle name="Good 3" xfId="74"/>
    <cellStyle name="Good 4" xfId="117"/>
    <cellStyle name="Heading 1 2" xfId="31"/>
    <cellStyle name="Heading 1 3" xfId="75"/>
    <cellStyle name="Heading 1 4" xfId="118"/>
    <cellStyle name="Heading 2 2" xfId="32"/>
    <cellStyle name="Heading 2 3" xfId="76"/>
    <cellStyle name="Heading 2 4" xfId="119"/>
    <cellStyle name="Heading 3 2" xfId="33"/>
    <cellStyle name="Heading 3 3" xfId="77"/>
    <cellStyle name="Heading 3 4" xfId="120"/>
    <cellStyle name="Heading 4 2" xfId="34"/>
    <cellStyle name="Heading 4 3" xfId="78"/>
    <cellStyle name="Heading 4 4" xfId="121"/>
    <cellStyle name="Input 2" xfId="35"/>
    <cellStyle name="Input 3" xfId="79"/>
    <cellStyle name="Input 4" xfId="122"/>
    <cellStyle name="Linked Cell 2" xfId="36"/>
    <cellStyle name="Linked Cell 3" xfId="80"/>
    <cellStyle name="Linked Cell 4" xfId="123"/>
    <cellStyle name="Neutral 2" xfId="37"/>
    <cellStyle name="Neutral 3" xfId="81"/>
    <cellStyle name="Neutral 4" xfId="124"/>
    <cellStyle name="Normal" xfId="0" builtinId="0"/>
    <cellStyle name="Normal 2" xfId="1"/>
    <cellStyle name="Normal 2 2" xfId="38"/>
    <cellStyle name="Normal 2 3" xfId="82"/>
    <cellStyle name="Normal 2 4" xfId="125"/>
    <cellStyle name="Normal 3" xfId="45"/>
    <cellStyle name="Normal 4" xfId="88"/>
    <cellStyle name="Normal_pay 2008-09" xfId="39"/>
    <cellStyle name="Note 2" xfId="40"/>
    <cellStyle name="Note 3" xfId="83"/>
    <cellStyle name="Note 4" xfId="126"/>
    <cellStyle name="Output 2" xfId="41"/>
    <cellStyle name="Output 3" xfId="84"/>
    <cellStyle name="Output 4" xfId="127"/>
    <cellStyle name="Title 2" xfId="42"/>
    <cellStyle name="Title 3" xfId="85"/>
    <cellStyle name="Title 4" xfId="128"/>
    <cellStyle name="Total 2" xfId="43"/>
    <cellStyle name="Total 3" xfId="86"/>
    <cellStyle name="Total 4" xfId="129"/>
    <cellStyle name="Warning Text 2" xfId="44"/>
    <cellStyle name="Warning Text 3" xfId="87"/>
    <cellStyle name="Warning Text 4" xfId="13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R34"/>
  <sheetViews>
    <sheetView tabSelected="1" topLeftCell="A16" workbookViewId="0">
      <selection activeCell="B24" sqref="B24"/>
    </sheetView>
  </sheetViews>
  <sheetFormatPr defaultColWidth="13.5546875" defaultRowHeight="14.4"/>
  <cols>
    <col min="1" max="1" width="12.44140625" style="58" customWidth="1"/>
    <col min="2" max="2" width="9.33203125" style="58" customWidth="1"/>
    <col min="3" max="3" width="6.6640625" style="58" customWidth="1"/>
    <col min="4" max="4" width="8.5546875" style="58" customWidth="1"/>
    <col min="5" max="5" width="7" style="58" customWidth="1"/>
    <col min="6" max="6" width="6.6640625" style="58" customWidth="1"/>
    <col min="7" max="7" width="9.5546875" style="58" customWidth="1"/>
    <col min="8" max="8" width="8.109375" style="58" customWidth="1"/>
    <col min="9" max="9" width="8.44140625" style="58" customWidth="1"/>
    <col min="10" max="10" width="8.109375" style="58" customWidth="1"/>
    <col min="11" max="11" width="7.33203125" style="58" customWidth="1"/>
    <col min="12" max="12" width="8.88671875" style="58" customWidth="1"/>
    <col min="13" max="13" width="8.44140625" style="58" customWidth="1"/>
    <col min="14" max="14" width="7.88671875" style="58" customWidth="1"/>
    <col min="15" max="15" width="8.109375" style="58" customWidth="1"/>
    <col min="16" max="16" width="9" style="58" customWidth="1"/>
    <col min="17" max="16384" width="13.5546875" style="58"/>
  </cols>
  <sheetData>
    <row r="1" spans="1:18" s="56" customFormat="1">
      <c r="A1" s="83" t="s">
        <v>204</v>
      </c>
      <c r="B1" s="83"/>
      <c r="C1" s="83"/>
      <c r="D1" s="83"/>
      <c r="E1" s="83"/>
      <c r="F1" s="83"/>
      <c r="G1" s="83"/>
      <c r="H1" s="83"/>
      <c r="I1" s="83"/>
      <c r="J1" s="83"/>
      <c r="K1" s="83"/>
      <c r="L1" s="83"/>
      <c r="M1" s="83"/>
      <c r="N1" s="83"/>
      <c r="O1" s="83"/>
      <c r="P1" s="83"/>
    </row>
    <row r="2" spans="1:18" s="56" customFormat="1">
      <c r="A2" s="84" t="s">
        <v>188</v>
      </c>
      <c r="B2" s="84"/>
      <c r="C2" s="84"/>
      <c r="D2" s="84"/>
      <c r="E2" s="84"/>
      <c r="F2" s="84"/>
      <c r="G2" s="84"/>
      <c r="H2" s="84"/>
      <c r="I2" s="84"/>
      <c r="J2" s="84"/>
      <c r="K2" s="84"/>
      <c r="L2" s="84"/>
      <c r="M2" s="84"/>
      <c r="N2" s="84"/>
      <c r="O2" s="84"/>
      <c r="P2" s="84"/>
    </row>
    <row r="3" spans="1:18" s="57" customFormat="1" ht="15" customHeight="1">
      <c r="A3" s="50" t="s">
        <v>0</v>
      </c>
      <c r="B3" s="79" t="s">
        <v>200</v>
      </c>
      <c r="C3" s="79"/>
      <c r="D3" s="79"/>
      <c r="E3" s="79"/>
      <c r="F3" s="79"/>
      <c r="G3" s="79"/>
      <c r="H3" s="79"/>
      <c r="I3" s="51"/>
      <c r="J3" s="80" t="s">
        <v>1</v>
      </c>
      <c r="K3" s="80"/>
      <c r="L3" s="85" t="s">
        <v>202</v>
      </c>
      <c r="M3" s="85"/>
      <c r="N3" s="85"/>
      <c r="O3" s="85"/>
      <c r="P3" s="51"/>
    </row>
    <row r="4" spans="1:18" s="57" customFormat="1" ht="15" customHeight="1">
      <c r="A4" s="50" t="s">
        <v>119</v>
      </c>
      <c r="B4" s="79" t="s">
        <v>201</v>
      </c>
      <c r="C4" s="79"/>
      <c r="D4" s="79"/>
      <c r="E4" s="79"/>
      <c r="F4" s="79"/>
      <c r="G4" s="79"/>
      <c r="H4" s="79"/>
      <c r="I4" s="51"/>
      <c r="J4" s="80" t="s">
        <v>63</v>
      </c>
      <c r="K4" s="80"/>
      <c r="L4" s="81">
        <v>12345678911123</v>
      </c>
      <c r="M4" s="81"/>
      <c r="N4" s="81"/>
      <c r="O4" s="81"/>
      <c r="P4" s="51"/>
    </row>
    <row r="5" spans="1:18" s="57" customFormat="1">
      <c r="A5" s="50" t="s">
        <v>120</v>
      </c>
      <c r="B5" s="90">
        <v>57993363020</v>
      </c>
      <c r="C5" s="90"/>
      <c r="D5" s="90"/>
      <c r="E5" s="90"/>
      <c r="F5" s="90"/>
      <c r="G5" s="90"/>
      <c r="H5" s="90"/>
      <c r="I5" s="52"/>
      <c r="J5" s="88" t="s">
        <v>121</v>
      </c>
      <c r="K5" s="88"/>
      <c r="L5" s="89" t="s">
        <v>203</v>
      </c>
      <c r="M5" s="89"/>
      <c r="N5" s="89"/>
      <c r="O5" s="85"/>
      <c r="P5" s="61"/>
    </row>
    <row r="6" spans="1:18" ht="66">
      <c r="A6" s="53" t="s">
        <v>2</v>
      </c>
      <c r="B6" s="13" t="s">
        <v>36</v>
      </c>
      <c r="C6" s="14" t="s">
        <v>37</v>
      </c>
      <c r="D6" s="14" t="s">
        <v>141</v>
      </c>
      <c r="E6" s="13" t="s">
        <v>38</v>
      </c>
      <c r="F6" s="14" t="s">
        <v>39</v>
      </c>
      <c r="G6" s="14" t="s">
        <v>64</v>
      </c>
      <c r="H6" s="13" t="s">
        <v>40</v>
      </c>
      <c r="I6" s="14" t="s">
        <v>206</v>
      </c>
      <c r="J6" s="14" t="s">
        <v>41</v>
      </c>
      <c r="K6" s="13" t="s">
        <v>42</v>
      </c>
      <c r="L6" s="13" t="s">
        <v>43</v>
      </c>
      <c r="M6" s="13" t="s">
        <v>44</v>
      </c>
      <c r="N6" s="14" t="s">
        <v>45</v>
      </c>
      <c r="O6" s="14" t="s">
        <v>46</v>
      </c>
      <c r="P6" s="53" t="s">
        <v>3</v>
      </c>
      <c r="R6" s="59"/>
    </row>
    <row r="7" spans="1:18">
      <c r="A7" s="54">
        <v>43891</v>
      </c>
      <c r="B7" s="44">
        <v>48692</v>
      </c>
      <c r="C7" s="44">
        <v>0</v>
      </c>
      <c r="D7" s="44">
        <v>5000</v>
      </c>
      <c r="E7" s="44">
        <v>0</v>
      </c>
      <c r="F7" s="44">
        <v>0</v>
      </c>
      <c r="G7" s="44">
        <v>0</v>
      </c>
      <c r="H7" s="15">
        <f>G7+F7+E7+D7+C7+B7</f>
        <v>53692</v>
      </c>
      <c r="I7" s="44">
        <v>0</v>
      </c>
      <c r="J7" s="44">
        <v>5369</v>
      </c>
      <c r="K7" s="44">
        <v>200</v>
      </c>
      <c r="L7" s="15">
        <f>H7-(I7+J7+K7)</f>
        <v>48123</v>
      </c>
      <c r="M7" s="44">
        <v>208</v>
      </c>
      <c r="N7" s="44">
        <v>1000</v>
      </c>
      <c r="O7" s="15">
        <f t="shared" ref="O7:O22" si="0">L7-(M7+N7)</f>
        <v>46915</v>
      </c>
      <c r="P7" s="44"/>
    </row>
    <row r="8" spans="1:18">
      <c r="A8" s="54">
        <v>43922</v>
      </c>
      <c r="B8" s="44">
        <v>48692</v>
      </c>
      <c r="C8" s="44">
        <v>0</v>
      </c>
      <c r="D8" s="44">
        <v>5000</v>
      </c>
      <c r="E8" s="44">
        <v>0</v>
      </c>
      <c r="F8" s="44">
        <v>0</v>
      </c>
      <c r="G8" s="44">
        <v>0</v>
      </c>
      <c r="H8" s="15">
        <f t="shared" ref="H8:H22" si="1">G8+F8+E8+D8+C8+B8</f>
        <v>53692</v>
      </c>
      <c r="I8" s="44">
        <v>0</v>
      </c>
      <c r="J8" s="44">
        <v>5369</v>
      </c>
      <c r="K8" s="44">
        <v>200</v>
      </c>
      <c r="L8" s="15">
        <f t="shared" ref="L8:L24" si="2">H8-(I8+J8+K8)</f>
        <v>48123</v>
      </c>
      <c r="M8" s="44">
        <v>208</v>
      </c>
      <c r="N8" s="44">
        <v>1000</v>
      </c>
      <c r="O8" s="15">
        <f t="shared" si="0"/>
        <v>46915</v>
      </c>
      <c r="P8" s="44"/>
    </row>
    <row r="9" spans="1:18">
      <c r="A9" s="54">
        <v>43952</v>
      </c>
      <c r="B9" s="44">
        <v>48692</v>
      </c>
      <c r="C9" s="44">
        <v>0</v>
      </c>
      <c r="D9" s="44">
        <v>5000</v>
      </c>
      <c r="E9" s="44">
        <v>0</v>
      </c>
      <c r="F9" s="44">
        <v>0</v>
      </c>
      <c r="G9" s="44">
        <v>0</v>
      </c>
      <c r="H9" s="15">
        <f t="shared" si="1"/>
        <v>53692</v>
      </c>
      <c r="I9" s="44">
        <v>0</v>
      </c>
      <c r="J9" s="44">
        <v>5369</v>
      </c>
      <c r="K9" s="44">
        <v>200</v>
      </c>
      <c r="L9" s="15">
        <f t="shared" si="2"/>
        <v>48123</v>
      </c>
      <c r="M9" s="44">
        <v>208</v>
      </c>
      <c r="N9" s="44">
        <v>1000</v>
      </c>
      <c r="O9" s="15">
        <f t="shared" si="0"/>
        <v>46915</v>
      </c>
      <c r="P9" s="44"/>
    </row>
    <row r="10" spans="1:18">
      <c r="A10" s="54">
        <v>43983</v>
      </c>
      <c r="B10" s="44">
        <v>48692</v>
      </c>
      <c r="C10" s="44">
        <v>0</v>
      </c>
      <c r="D10" s="44">
        <v>5000</v>
      </c>
      <c r="E10" s="44">
        <v>0</v>
      </c>
      <c r="F10" s="44">
        <v>0</v>
      </c>
      <c r="G10" s="44">
        <v>0</v>
      </c>
      <c r="H10" s="15">
        <f t="shared" si="1"/>
        <v>53692</v>
      </c>
      <c r="I10" s="44">
        <v>0</v>
      </c>
      <c r="J10" s="44">
        <v>5369</v>
      </c>
      <c r="K10" s="44">
        <v>200</v>
      </c>
      <c r="L10" s="15">
        <f t="shared" si="2"/>
        <v>48123</v>
      </c>
      <c r="M10" s="44">
        <v>208</v>
      </c>
      <c r="N10" s="44">
        <v>1000</v>
      </c>
      <c r="O10" s="15">
        <f t="shared" si="0"/>
        <v>46915</v>
      </c>
      <c r="P10" s="44"/>
    </row>
    <row r="11" spans="1:18">
      <c r="A11" s="54">
        <v>44013</v>
      </c>
      <c r="B11" s="44">
        <v>48692</v>
      </c>
      <c r="C11" s="44">
        <v>0</v>
      </c>
      <c r="D11" s="44">
        <v>5000</v>
      </c>
      <c r="E11" s="44">
        <v>0</v>
      </c>
      <c r="F11" s="44">
        <v>0</v>
      </c>
      <c r="G11" s="44">
        <v>0</v>
      </c>
      <c r="H11" s="15">
        <f t="shared" si="1"/>
        <v>53692</v>
      </c>
      <c r="I11" s="44">
        <v>0</v>
      </c>
      <c r="J11" s="44">
        <v>5369</v>
      </c>
      <c r="K11" s="44">
        <v>200</v>
      </c>
      <c r="L11" s="15">
        <f t="shared" si="2"/>
        <v>48123</v>
      </c>
      <c r="M11" s="44">
        <v>208</v>
      </c>
      <c r="N11" s="44">
        <v>1000</v>
      </c>
      <c r="O11" s="15">
        <f t="shared" si="0"/>
        <v>46915</v>
      </c>
      <c r="P11" s="44"/>
    </row>
    <row r="12" spans="1:18">
      <c r="A12" s="54">
        <v>44044</v>
      </c>
      <c r="B12" s="44">
        <v>48692</v>
      </c>
      <c r="C12" s="44">
        <v>0</v>
      </c>
      <c r="D12" s="44">
        <v>5000</v>
      </c>
      <c r="E12" s="44">
        <v>0</v>
      </c>
      <c r="F12" s="44">
        <v>0</v>
      </c>
      <c r="G12" s="44">
        <v>0</v>
      </c>
      <c r="H12" s="15">
        <f t="shared" si="1"/>
        <v>53692</v>
      </c>
      <c r="I12" s="44">
        <v>0</v>
      </c>
      <c r="J12" s="44">
        <v>5369</v>
      </c>
      <c r="K12" s="44">
        <v>200</v>
      </c>
      <c r="L12" s="15">
        <f t="shared" si="2"/>
        <v>48123</v>
      </c>
      <c r="M12" s="44">
        <v>208</v>
      </c>
      <c r="N12" s="44">
        <v>1000</v>
      </c>
      <c r="O12" s="15">
        <f t="shared" si="0"/>
        <v>46915</v>
      </c>
      <c r="P12" s="44"/>
    </row>
    <row r="13" spans="1:18">
      <c r="A13" s="54">
        <v>44075</v>
      </c>
      <c r="B13" s="44">
        <v>48692</v>
      </c>
      <c r="C13" s="44">
        <v>0</v>
      </c>
      <c r="D13" s="44">
        <v>5000</v>
      </c>
      <c r="E13" s="44">
        <v>0</v>
      </c>
      <c r="F13" s="44">
        <v>0</v>
      </c>
      <c r="G13" s="44">
        <v>0</v>
      </c>
      <c r="H13" s="15">
        <f t="shared" si="1"/>
        <v>53692</v>
      </c>
      <c r="I13" s="44">
        <v>0</v>
      </c>
      <c r="J13" s="44">
        <v>5369</v>
      </c>
      <c r="K13" s="44">
        <v>200</v>
      </c>
      <c r="L13" s="15">
        <f t="shared" si="2"/>
        <v>48123</v>
      </c>
      <c r="M13" s="44">
        <v>208</v>
      </c>
      <c r="N13" s="44">
        <v>1000</v>
      </c>
      <c r="O13" s="15">
        <f t="shared" si="0"/>
        <v>46915</v>
      </c>
      <c r="P13" s="44"/>
    </row>
    <row r="14" spans="1:18">
      <c r="A14" s="54">
        <v>44105</v>
      </c>
      <c r="B14" s="44">
        <v>48692</v>
      </c>
      <c r="C14" s="44">
        <v>0</v>
      </c>
      <c r="D14" s="44">
        <v>5000</v>
      </c>
      <c r="E14" s="44">
        <v>0</v>
      </c>
      <c r="F14" s="44">
        <v>0</v>
      </c>
      <c r="G14" s="44">
        <v>0</v>
      </c>
      <c r="H14" s="15">
        <f t="shared" si="1"/>
        <v>53692</v>
      </c>
      <c r="I14" s="44">
        <v>0</v>
      </c>
      <c r="J14" s="44">
        <v>5369</v>
      </c>
      <c r="K14" s="44">
        <v>200</v>
      </c>
      <c r="L14" s="15">
        <f t="shared" si="2"/>
        <v>48123</v>
      </c>
      <c r="M14" s="44">
        <v>208</v>
      </c>
      <c r="N14" s="44">
        <v>1000</v>
      </c>
      <c r="O14" s="15">
        <f t="shared" si="0"/>
        <v>46915</v>
      </c>
      <c r="P14" s="44"/>
    </row>
    <row r="15" spans="1:18">
      <c r="A15" s="54">
        <v>44136</v>
      </c>
      <c r="B15" s="44">
        <v>48692</v>
      </c>
      <c r="C15" s="44">
        <v>0</v>
      </c>
      <c r="D15" s="44">
        <v>5000</v>
      </c>
      <c r="E15" s="44">
        <v>0</v>
      </c>
      <c r="F15" s="44">
        <v>0</v>
      </c>
      <c r="G15" s="44">
        <v>0</v>
      </c>
      <c r="H15" s="15">
        <f t="shared" si="1"/>
        <v>53692</v>
      </c>
      <c r="I15" s="44">
        <v>0</v>
      </c>
      <c r="J15" s="44">
        <v>5369</v>
      </c>
      <c r="K15" s="44">
        <v>200</v>
      </c>
      <c r="L15" s="15">
        <f t="shared" si="2"/>
        <v>48123</v>
      </c>
      <c r="M15" s="44">
        <v>208</v>
      </c>
      <c r="N15" s="44">
        <v>1000</v>
      </c>
      <c r="O15" s="15">
        <f t="shared" si="0"/>
        <v>46915</v>
      </c>
      <c r="P15" s="44"/>
    </row>
    <row r="16" spans="1:18">
      <c r="A16" s="54">
        <v>44166</v>
      </c>
      <c r="B16" s="44">
        <v>48692</v>
      </c>
      <c r="C16" s="44">
        <v>0</v>
      </c>
      <c r="D16" s="44">
        <v>5000</v>
      </c>
      <c r="E16" s="44">
        <v>0</v>
      </c>
      <c r="F16" s="44">
        <v>0</v>
      </c>
      <c r="G16" s="44">
        <v>0</v>
      </c>
      <c r="H16" s="15">
        <f t="shared" si="1"/>
        <v>53692</v>
      </c>
      <c r="I16" s="44">
        <v>0</v>
      </c>
      <c r="J16" s="44">
        <v>5369</v>
      </c>
      <c r="K16" s="44">
        <v>200</v>
      </c>
      <c r="L16" s="15">
        <f t="shared" si="2"/>
        <v>48123</v>
      </c>
      <c r="M16" s="44">
        <v>208</v>
      </c>
      <c r="N16" s="44">
        <v>1000</v>
      </c>
      <c r="O16" s="15">
        <f t="shared" si="0"/>
        <v>46915</v>
      </c>
      <c r="P16" s="44"/>
    </row>
    <row r="17" spans="1:16">
      <c r="A17" s="54">
        <v>44197</v>
      </c>
      <c r="B17" s="44">
        <v>48692</v>
      </c>
      <c r="C17" s="44">
        <v>0</v>
      </c>
      <c r="D17" s="44">
        <v>5000</v>
      </c>
      <c r="E17" s="44">
        <v>0</v>
      </c>
      <c r="F17" s="44">
        <v>0</v>
      </c>
      <c r="G17" s="44">
        <v>0</v>
      </c>
      <c r="H17" s="15">
        <f t="shared" si="1"/>
        <v>53692</v>
      </c>
      <c r="I17" s="44">
        <v>0</v>
      </c>
      <c r="J17" s="44">
        <v>5369</v>
      </c>
      <c r="K17" s="44">
        <v>200</v>
      </c>
      <c r="L17" s="15">
        <f t="shared" si="2"/>
        <v>48123</v>
      </c>
      <c r="M17" s="44">
        <v>208</v>
      </c>
      <c r="N17" s="44">
        <v>1000</v>
      </c>
      <c r="O17" s="15">
        <f t="shared" si="0"/>
        <v>46915</v>
      </c>
      <c r="P17" s="44"/>
    </row>
    <row r="18" spans="1:16">
      <c r="A18" s="54">
        <v>44228</v>
      </c>
      <c r="B18" s="44">
        <v>48692</v>
      </c>
      <c r="C18" s="44">
        <v>0</v>
      </c>
      <c r="D18" s="44">
        <v>5000</v>
      </c>
      <c r="E18" s="44">
        <v>0</v>
      </c>
      <c r="F18" s="44">
        <v>0</v>
      </c>
      <c r="G18" s="44">
        <v>0</v>
      </c>
      <c r="H18" s="15">
        <f t="shared" si="1"/>
        <v>53692</v>
      </c>
      <c r="I18" s="44">
        <v>0</v>
      </c>
      <c r="J18" s="44">
        <v>5369</v>
      </c>
      <c r="K18" s="44">
        <v>200</v>
      </c>
      <c r="L18" s="15">
        <f t="shared" si="2"/>
        <v>48123</v>
      </c>
      <c r="M18" s="44">
        <v>212</v>
      </c>
      <c r="N18" s="44">
        <v>2000</v>
      </c>
      <c r="O18" s="15">
        <f t="shared" si="0"/>
        <v>45911</v>
      </c>
      <c r="P18" s="44"/>
    </row>
    <row r="19" spans="1:16">
      <c r="A19" s="55" t="s">
        <v>194</v>
      </c>
      <c r="B19" s="44">
        <v>0</v>
      </c>
      <c r="C19" s="44">
        <v>0</v>
      </c>
      <c r="D19" s="44">
        <v>0</v>
      </c>
      <c r="E19" s="44">
        <v>0</v>
      </c>
      <c r="F19" s="44">
        <v>0</v>
      </c>
      <c r="G19" s="44">
        <v>0</v>
      </c>
      <c r="H19" s="15">
        <f t="shared" si="1"/>
        <v>0</v>
      </c>
      <c r="I19" s="44">
        <v>0</v>
      </c>
      <c r="J19" s="44">
        <v>0</v>
      </c>
      <c r="K19" s="44">
        <v>0</v>
      </c>
      <c r="L19" s="15">
        <f t="shared" si="2"/>
        <v>0</v>
      </c>
      <c r="M19" s="44">
        <v>0</v>
      </c>
      <c r="N19" s="44">
        <v>0</v>
      </c>
      <c r="O19" s="15">
        <f t="shared" si="0"/>
        <v>0</v>
      </c>
      <c r="P19" s="44"/>
    </row>
    <row r="20" spans="1:16">
      <c r="A20" s="55" t="s">
        <v>4</v>
      </c>
      <c r="B20" s="44">
        <v>0</v>
      </c>
      <c r="C20" s="44">
        <v>0</v>
      </c>
      <c r="D20" s="44">
        <v>0</v>
      </c>
      <c r="E20" s="44">
        <v>0</v>
      </c>
      <c r="F20" s="44">
        <v>0</v>
      </c>
      <c r="G20" s="44">
        <v>0</v>
      </c>
      <c r="H20" s="15">
        <f t="shared" si="1"/>
        <v>0</v>
      </c>
      <c r="I20" s="44">
        <v>0</v>
      </c>
      <c r="J20" s="44">
        <v>0</v>
      </c>
      <c r="K20" s="44">
        <v>0</v>
      </c>
      <c r="L20" s="15">
        <f t="shared" si="2"/>
        <v>0</v>
      </c>
      <c r="M20" s="44">
        <v>0</v>
      </c>
      <c r="N20" s="44">
        <v>0</v>
      </c>
      <c r="O20" s="15">
        <f t="shared" si="0"/>
        <v>0</v>
      </c>
      <c r="P20" s="44"/>
    </row>
    <row r="21" spans="1:16">
      <c r="A21" s="55" t="s">
        <v>5</v>
      </c>
      <c r="B21" s="44">
        <v>0</v>
      </c>
      <c r="C21" s="44">
        <v>0</v>
      </c>
      <c r="D21" s="44">
        <v>0</v>
      </c>
      <c r="E21" s="44">
        <v>0</v>
      </c>
      <c r="F21" s="44">
        <v>0</v>
      </c>
      <c r="G21" s="44">
        <v>0</v>
      </c>
      <c r="H21" s="15">
        <f t="shared" si="1"/>
        <v>0</v>
      </c>
      <c r="I21" s="44">
        <v>0</v>
      </c>
      <c r="J21" s="44">
        <v>0</v>
      </c>
      <c r="K21" s="44">
        <v>0</v>
      </c>
      <c r="L21" s="15">
        <f t="shared" si="2"/>
        <v>0</v>
      </c>
      <c r="M21" s="44">
        <v>0</v>
      </c>
      <c r="N21" s="44">
        <v>0</v>
      </c>
      <c r="O21" s="15">
        <f t="shared" si="0"/>
        <v>0</v>
      </c>
      <c r="P21" s="44"/>
    </row>
    <row r="22" spans="1:16">
      <c r="A22" s="55" t="s">
        <v>6</v>
      </c>
      <c r="B22" s="44">
        <v>0</v>
      </c>
      <c r="C22" s="44">
        <v>0</v>
      </c>
      <c r="D22" s="44">
        <v>0</v>
      </c>
      <c r="E22" s="44">
        <v>0</v>
      </c>
      <c r="F22" s="44">
        <v>0</v>
      </c>
      <c r="G22" s="44">
        <v>0</v>
      </c>
      <c r="H22" s="15">
        <f t="shared" si="1"/>
        <v>0</v>
      </c>
      <c r="I22" s="44">
        <v>0</v>
      </c>
      <c r="J22" s="44">
        <v>0</v>
      </c>
      <c r="K22" s="44">
        <v>0</v>
      </c>
      <c r="L22" s="15">
        <f t="shared" si="2"/>
        <v>0</v>
      </c>
      <c r="M22" s="44">
        <v>0</v>
      </c>
      <c r="N22" s="44">
        <v>0</v>
      </c>
      <c r="O22" s="15">
        <f t="shared" si="0"/>
        <v>0</v>
      </c>
      <c r="P22" s="44"/>
    </row>
    <row r="23" spans="1:16">
      <c r="A23" s="55" t="s">
        <v>7</v>
      </c>
      <c r="B23" s="44">
        <v>0</v>
      </c>
      <c r="C23" s="44">
        <v>0</v>
      </c>
      <c r="D23" s="44">
        <v>0</v>
      </c>
      <c r="E23" s="44">
        <v>0</v>
      </c>
      <c r="F23" s="44">
        <v>0</v>
      </c>
      <c r="G23" s="44">
        <v>0</v>
      </c>
      <c r="H23" s="15">
        <f>G23+F23+E23+D23+C23+B23</f>
        <v>0</v>
      </c>
      <c r="I23" s="44">
        <v>0</v>
      </c>
      <c r="J23" s="44">
        <v>0</v>
      </c>
      <c r="K23" s="44">
        <v>0</v>
      </c>
      <c r="L23" s="15">
        <f t="shared" si="2"/>
        <v>0</v>
      </c>
      <c r="M23" s="44">
        <v>0</v>
      </c>
      <c r="N23" s="44">
        <v>0</v>
      </c>
      <c r="O23" s="15">
        <f t="shared" ref="O23" si="3">L23-(M23+N23)</f>
        <v>0</v>
      </c>
      <c r="P23" s="44"/>
    </row>
    <row r="24" spans="1:16" s="60" customFormat="1" ht="45.75" customHeight="1">
      <c r="A24" s="15" t="s">
        <v>8</v>
      </c>
      <c r="B24" s="16">
        <f>B23+B22+B21+B20+B19+B18+B17+B16+B15+B14+B13+B12+B11+B10+B9+B8+B7</f>
        <v>584304</v>
      </c>
      <c r="C24" s="16">
        <f t="shared" ref="C24:O24" si="4">C23+C22+C21+C20+C19+C18+C17+C16+C15+C14+C13+C12+C11+C10+C9+C8+C7</f>
        <v>0</v>
      </c>
      <c r="D24" s="16">
        <f t="shared" si="4"/>
        <v>60000</v>
      </c>
      <c r="E24" s="16">
        <f t="shared" si="4"/>
        <v>0</v>
      </c>
      <c r="F24" s="16">
        <f t="shared" si="4"/>
        <v>0</v>
      </c>
      <c r="G24" s="16">
        <f t="shared" si="4"/>
        <v>0</v>
      </c>
      <c r="H24" s="16">
        <f t="shared" si="4"/>
        <v>644304</v>
      </c>
      <c r="I24" s="16">
        <f>I23+I22+I21+I20+I19+I18+I17+I16+I15+I14+I13+I12+I11+I10+I9+I8+I7</f>
        <v>0</v>
      </c>
      <c r="J24" s="16">
        <f t="shared" si="4"/>
        <v>64428</v>
      </c>
      <c r="K24" s="16">
        <f t="shared" si="4"/>
        <v>2400</v>
      </c>
      <c r="L24" s="15">
        <f t="shared" si="2"/>
        <v>577476</v>
      </c>
      <c r="M24" s="16">
        <f t="shared" si="4"/>
        <v>2500</v>
      </c>
      <c r="N24" s="16">
        <f t="shared" si="4"/>
        <v>13000</v>
      </c>
      <c r="O24" s="16">
        <f t="shared" si="4"/>
        <v>561976</v>
      </c>
      <c r="P24" s="16"/>
    </row>
    <row r="25" spans="1:16">
      <c r="A25" s="21"/>
      <c r="B25" s="21"/>
      <c r="C25" s="21"/>
      <c r="D25" s="21"/>
      <c r="E25" s="21"/>
      <c r="F25" s="21"/>
      <c r="G25" s="21"/>
      <c r="H25" s="21"/>
      <c r="I25" s="21"/>
      <c r="J25" s="21"/>
      <c r="K25" s="21"/>
      <c r="L25" s="21"/>
      <c r="M25" s="21"/>
      <c r="N25" s="21"/>
      <c r="O25" s="21"/>
      <c r="P25" s="21"/>
    </row>
    <row r="26" spans="1:16">
      <c r="A26" s="21"/>
      <c r="B26" s="87" t="str">
        <f>B3</f>
        <v>Laxman Devda</v>
      </c>
      <c r="C26" s="87"/>
      <c r="D26" s="87"/>
      <c r="E26" s="87"/>
      <c r="F26" s="87"/>
      <c r="G26" s="21"/>
      <c r="H26" s="21"/>
      <c r="I26" s="21"/>
      <c r="J26" s="21"/>
      <c r="K26" s="21"/>
      <c r="L26" s="21"/>
      <c r="M26" s="21"/>
      <c r="N26" s="21"/>
      <c r="O26" s="21"/>
      <c r="P26" s="21"/>
    </row>
    <row r="27" spans="1:16">
      <c r="A27" s="21"/>
      <c r="B27" s="87" t="str">
        <f>B4</f>
        <v xml:space="preserve">Madhymik Shikshak </v>
      </c>
      <c r="C27" s="87"/>
      <c r="D27" s="87"/>
      <c r="E27" s="87"/>
      <c r="F27" s="87"/>
      <c r="G27" s="21"/>
      <c r="H27" s="21"/>
      <c r="I27" s="21"/>
      <c r="J27" s="21"/>
      <c r="K27" s="21"/>
      <c r="L27" s="21"/>
      <c r="M27" s="21"/>
      <c r="N27" s="21"/>
      <c r="O27" s="21"/>
      <c r="P27" s="21"/>
    </row>
    <row r="28" spans="1:16">
      <c r="A28" s="21"/>
      <c r="B28" s="21"/>
      <c r="C28" s="21"/>
      <c r="D28" s="21"/>
      <c r="E28" s="21"/>
      <c r="F28" s="21"/>
      <c r="G28" s="21"/>
      <c r="H28" s="21"/>
      <c r="I28" s="21"/>
      <c r="J28" s="21"/>
      <c r="K28" s="21"/>
      <c r="L28" s="21"/>
      <c r="M28" s="21"/>
      <c r="N28" s="21"/>
      <c r="O28" s="21"/>
      <c r="P28" s="21"/>
    </row>
    <row r="29" spans="1:16">
      <c r="A29" s="82" t="s">
        <v>148</v>
      </c>
      <c r="B29" s="82"/>
      <c r="C29" s="82"/>
      <c r="D29" s="82"/>
      <c r="E29" s="82"/>
      <c r="F29" s="82"/>
      <c r="G29" s="82"/>
      <c r="H29" s="82"/>
      <c r="I29" s="82"/>
      <c r="J29" s="82"/>
      <c r="K29" s="82"/>
      <c r="L29" s="82"/>
      <c r="M29" s="82"/>
      <c r="N29" s="82"/>
      <c r="O29" s="82"/>
      <c r="P29" s="82"/>
    </row>
    <row r="30" spans="1:16" ht="43.5" customHeight="1">
      <c r="A30" s="82"/>
      <c r="B30" s="82"/>
      <c r="C30" s="82"/>
      <c r="D30" s="82"/>
      <c r="E30" s="82"/>
      <c r="F30" s="82"/>
      <c r="G30" s="82"/>
      <c r="H30" s="82"/>
      <c r="I30" s="82"/>
      <c r="J30" s="82"/>
      <c r="K30" s="82"/>
      <c r="L30" s="82"/>
      <c r="M30" s="82"/>
      <c r="N30" s="82"/>
      <c r="O30" s="82"/>
      <c r="P30" s="82"/>
    </row>
    <row r="31" spans="1:16">
      <c r="A31" s="86" t="s">
        <v>192</v>
      </c>
      <c r="B31" s="86"/>
      <c r="C31" s="86"/>
      <c r="D31" s="86"/>
      <c r="E31" s="86"/>
      <c r="F31" s="86"/>
      <c r="G31" s="86"/>
      <c r="H31" s="86"/>
      <c r="I31" s="86"/>
      <c r="J31" s="86"/>
      <c r="K31" s="86"/>
      <c r="L31" s="86"/>
      <c r="M31" s="86"/>
      <c r="N31" s="86"/>
      <c r="O31" s="86"/>
      <c r="P31" s="86"/>
    </row>
    <row r="32" spans="1:16">
      <c r="A32" s="86"/>
      <c r="B32" s="86"/>
      <c r="C32" s="86"/>
      <c r="D32" s="86"/>
      <c r="E32" s="86"/>
      <c r="F32" s="86"/>
      <c r="G32" s="86"/>
      <c r="H32" s="86"/>
      <c r="I32" s="86"/>
      <c r="J32" s="86"/>
      <c r="K32" s="86"/>
      <c r="L32" s="86"/>
      <c r="M32" s="86"/>
      <c r="N32" s="86"/>
      <c r="O32" s="86"/>
      <c r="P32" s="86"/>
    </row>
    <row r="33" spans="1:16">
      <c r="A33" s="21"/>
      <c r="B33" s="21"/>
      <c r="C33" s="21"/>
      <c r="D33" s="21"/>
      <c r="E33" s="21"/>
      <c r="F33" s="21"/>
      <c r="G33" s="21"/>
      <c r="H33" s="21"/>
      <c r="I33" s="21"/>
      <c r="J33" s="21"/>
      <c r="K33" s="21"/>
      <c r="L33" s="21"/>
      <c r="M33" s="21"/>
      <c r="N33" s="21"/>
      <c r="O33" s="21"/>
      <c r="P33" s="21"/>
    </row>
    <row r="34" spans="1:16">
      <c r="A34" s="21"/>
      <c r="B34" s="21"/>
      <c r="C34" s="21"/>
      <c r="D34" s="21"/>
      <c r="E34" s="21"/>
      <c r="F34" s="21"/>
      <c r="G34" s="21"/>
      <c r="H34" s="21"/>
      <c r="I34" s="21"/>
      <c r="J34" s="21"/>
      <c r="K34" s="21"/>
      <c r="L34" s="21"/>
      <c r="M34" s="21"/>
      <c r="N34" s="21"/>
      <c r="O34" s="21"/>
      <c r="P34" s="21"/>
    </row>
  </sheetData>
  <sheetProtection password="CC27" sheet="1" objects="1" scenarios="1"/>
  <mergeCells count="15">
    <mergeCell ref="A31:P32"/>
    <mergeCell ref="B26:F26"/>
    <mergeCell ref="B27:F27"/>
    <mergeCell ref="J5:K5"/>
    <mergeCell ref="L5:O5"/>
    <mergeCell ref="B5:H5"/>
    <mergeCell ref="B4:H4"/>
    <mergeCell ref="J4:K4"/>
    <mergeCell ref="L4:O4"/>
    <mergeCell ref="A29:P30"/>
    <mergeCell ref="A1:P1"/>
    <mergeCell ref="A2:P2"/>
    <mergeCell ref="J3:K3"/>
    <mergeCell ref="L3:O3"/>
    <mergeCell ref="B3:H3"/>
  </mergeCells>
  <pageMargins left="0.25" right="0.25" top="0.75" bottom="0.75" header="0.3" footer="0.3"/>
  <pageSetup paperSize="9" orientation="landscape" horizontalDpi="300" verticalDpi="300" r:id="rId1"/>
</worksheet>
</file>

<file path=xl/worksheets/sheet2.xml><?xml version="1.0" encoding="utf-8"?>
<worksheet xmlns="http://schemas.openxmlformats.org/spreadsheetml/2006/main" xmlns:r="http://schemas.openxmlformats.org/officeDocument/2006/relationships">
  <dimension ref="A1:E24"/>
  <sheetViews>
    <sheetView topLeftCell="A10" workbookViewId="0">
      <selection activeCell="B15" sqref="B15"/>
    </sheetView>
  </sheetViews>
  <sheetFormatPr defaultColWidth="9.109375" defaultRowHeight="21"/>
  <cols>
    <col min="1" max="1" width="43.44140625" style="62" customWidth="1"/>
    <col min="2" max="2" width="9.88671875" style="62" customWidth="1"/>
    <col min="3" max="3" width="47.6640625" style="62" customWidth="1"/>
    <col min="4" max="4" width="12" style="62" customWidth="1"/>
    <col min="5" max="5" width="26.5546875" style="64" customWidth="1"/>
    <col min="6" max="16384" width="9.109375" style="62"/>
  </cols>
  <sheetData>
    <row r="1" spans="1:5" ht="28.2">
      <c r="A1" s="96" t="s">
        <v>62</v>
      </c>
      <c r="B1" s="96"/>
      <c r="C1" s="96"/>
      <c r="D1" s="96"/>
      <c r="E1" s="96"/>
    </row>
    <row r="2" spans="1:5" ht="28.2">
      <c r="A2" s="97" t="str">
        <f>PAY!A1</f>
        <v>OFFICE Of  HIGH SCHOOL BALIPUR</v>
      </c>
      <c r="B2" s="97"/>
      <c r="C2" s="97"/>
      <c r="D2" s="97"/>
      <c r="E2" s="97"/>
    </row>
    <row r="3" spans="1:5" ht="20.399999999999999">
      <c r="A3" s="37" t="str">
        <f>PAY!B3</f>
        <v>Laxman Devda</v>
      </c>
      <c r="B3" s="37"/>
      <c r="C3" s="37" t="str">
        <f>PAY!B4</f>
        <v xml:space="preserve">Madhymik Shikshak </v>
      </c>
      <c r="D3" s="37"/>
      <c r="E3" s="38" t="str">
        <f>PAY!L3</f>
        <v>KLP00232K</v>
      </c>
    </row>
    <row r="4" spans="1:5" ht="52.2">
      <c r="A4" s="31" t="s">
        <v>56</v>
      </c>
      <c r="B4" s="71">
        <v>0</v>
      </c>
      <c r="C4" s="32" t="s">
        <v>150</v>
      </c>
      <c r="D4" s="71">
        <v>0</v>
      </c>
      <c r="E4" s="39" t="s">
        <v>205</v>
      </c>
    </row>
    <row r="5" spans="1:5" ht="34.799999999999997">
      <c r="A5" s="33" t="s">
        <v>55</v>
      </c>
      <c r="B5" s="71">
        <v>0</v>
      </c>
      <c r="C5" s="34" t="s">
        <v>151</v>
      </c>
      <c r="D5" s="71">
        <v>0</v>
      </c>
      <c r="E5" s="40">
        <f>PAY!B24+PAY!C24+PAY!D24</f>
        <v>644304</v>
      </c>
    </row>
    <row r="6" spans="1:5" ht="28.2">
      <c r="A6" s="31" t="s">
        <v>117</v>
      </c>
      <c r="B6" s="72">
        <f>PAY!M24</f>
        <v>2500</v>
      </c>
      <c r="C6" s="32" t="s">
        <v>152</v>
      </c>
      <c r="D6" s="71">
        <v>0</v>
      </c>
      <c r="E6" s="41" t="s">
        <v>9</v>
      </c>
    </row>
    <row r="7" spans="1:5" ht="34.799999999999997">
      <c r="A7" s="33" t="s">
        <v>54</v>
      </c>
      <c r="B7" s="71">
        <v>0</v>
      </c>
      <c r="C7" s="34" t="s">
        <v>193</v>
      </c>
      <c r="D7" s="71">
        <v>0</v>
      </c>
      <c r="E7" s="42">
        <f>'OLD TAX PLAN '!O47</f>
        <v>500980</v>
      </c>
    </row>
    <row r="8" spans="1:5" ht="37.5" customHeight="1">
      <c r="A8" s="31" t="s">
        <v>53</v>
      </c>
      <c r="B8" s="71">
        <v>0</v>
      </c>
      <c r="C8" s="32" t="s">
        <v>153</v>
      </c>
      <c r="D8" s="71">
        <v>0</v>
      </c>
      <c r="E8" s="43" t="s">
        <v>10</v>
      </c>
    </row>
    <row r="9" spans="1:5" ht="34.799999999999997">
      <c r="A9" s="33" t="s">
        <v>52</v>
      </c>
      <c r="B9" s="71">
        <v>0</v>
      </c>
      <c r="C9" s="34" t="s">
        <v>154</v>
      </c>
      <c r="D9" s="71">
        <v>0</v>
      </c>
      <c r="E9" s="73">
        <f>PAY!N24</f>
        <v>13000</v>
      </c>
    </row>
    <row r="10" spans="1:5" ht="52.5" customHeight="1">
      <c r="A10" s="31" t="s">
        <v>51</v>
      </c>
      <c r="B10" s="71">
        <v>0</v>
      </c>
      <c r="C10" s="32" t="s">
        <v>155</v>
      </c>
      <c r="D10" s="71">
        <v>0</v>
      </c>
      <c r="E10" s="98" t="s">
        <v>11</v>
      </c>
    </row>
    <row r="11" spans="1:5" ht="34.799999999999997">
      <c r="A11" s="33" t="s">
        <v>47</v>
      </c>
      <c r="B11" s="71">
        <v>0</v>
      </c>
      <c r="C11" s="34" t="s">
        <v>156</v>
      </c>
      <c r="D11" s="71">
        <v>0</v>
      </c>
      <c r="E11" s="98"/>
    </row>
    <row r="12" spans="1:5" ht="34.799999999999997">
      <c r="A12" s="31" t="s">
        <v>49</v>
      </c>
      <c r="B12" s="71">
        <v>0</v>
      </c>
      <c r="C12" s="32" t="s">
        <v>157</v>
      </c>
      <c r="D12" s="71">
        <v>0</v>
      </c>
      <c r="E12" s="98"/>
    </row>
    <row r="13" spans="1:5" ht="39.75" customHeight="1">
      <c r="A13" s="33" t="s">
        <v>50</v>
      </c>
      <c r="B13" s="71">
        <v>0</v>
      </c>
      <c r="C13" s="34" t="s">
        <v>158</v>
      </c>
      <c r="D13" s="71">
        <v>0</v>
      </c>
      <c r="E13" s="42">
        <f>'OLD TAX PLAN '!O30</f>
        <v>90828</v>
      </c>
    </row>
    <row r="14" spans="1:5" ht="35.25" customHeight="1">
      <c r="A14" s="31" t="s">
        <v>48</v>
      </c>
      <c r="B14" s="71">
        <v>0</v>
      </c>
      <c r="C14" s="32" t="s">
        <v>159</v>
      </c>
      <c r="D14" s="71">
        <v>0</v>
      </c>
      <c r="E14" s="94" t="s">
        <v>168</v>
      </c>
    </row>
    <row r="15" spans="1:5" ht="36" customHeight="1">
      <c r="A15" s="33" t="s">
        <v>57</v>
      </c>
      <c r="B15" s="71">
        <v>24000</v>
      </c>
      <c r="C15" s="34" t="s">
        <v>160</v>
      </c>
      <c r="D15" s="71">
        <v>0</v>
      </c>
      <c r="E15" s="94"/>
    </row>
    <row r="16" spans="1:5" ht="18.75" customHeight="1">
      <c r="A16" s="31" t="s">
        <v>58</v>
      </c>
      <c r="B16" s="71">
        <v>0</v>
      </c>
      <c r="C16" s="32" t="s">
        <v>161</v>
      </c>
      <c r="D16" s="71">
        <v>0</v>
      </c>
      <c r="E16" s="94"/>
    </row>
    <row r="17" spans="1:5" ht="18.75" customHeight="1">
      <c r="A17" s="33" t="s">
        <v>59</v>
      </c>
      <c r="B17" s="71">
        <v>0</v>
      </c>
      <c r="C17" s="34" t="s">
        <v>162</v>
      </c>
      <c r="D17" s="71">
        <v>0</v>
      </c>
      <c r="E17" s="94"/>
    </row>
    <row r="18" spans="1:5" ht="19.8">
      <c r="A18" s="31" t="s">
        <v>61</v>
      </c>
      <c r="B18" s="71">
        <v>0</v>
      </c>
      <c r="C18" s="32" t="s">
        <v>163</v>
      </c>
      <c r="D18" s="71">
        <v>0</v>
      </c>
      <c r="E18" s="99">
        <f>'OLD TAX PLAN '!O44</f>
        <v>0</v>
      </c>
    </row>
    <row r="19" spans="1:5" ht="19.8">
      <c r="A19" s="33" t="s">
        <v>60</v>
      </c>
      <c r="B19" s="71">
        <v>0</v>
      </c>
      <c r="C19" s="34" t="s">
        <v>164</v>
      </c>
      <c r="D19" s="71">
        <v>0</v>
      </c>
      <c r="E19" s="99"/>
    </row>
    <row r="20" spans="1:5" ht="23.25" customHeight="1">
      <c r="A20" s="35" t="s">
        <v>118</v>
      </c>
      <c r="B20" s="71">
        <v>0</v>
      </c>
      <c r="C20" s="36" t="s">
        <v>165</v>
      </c>
      <c r="D20" s="71">
        <v>0</v>
      </c>
      <c r="E20" s="95" t="s">
        <v>12</v>
      </c>
    </row>
    <row r="21" spans="1:5" ht="23.25" customHeight="1">
      <c r="A21" s="33" t="s">
        <v>142</v>
      </c>
      <c r="B21" s="71">
        <v>0</v>
      </c>
      <c r="C21" s="34" t="s">
        <v>166</v>
      </c>
      <c r="D21" s="71">
        <v>64428</v>
      </c>
      <c r="E21" s="95"/>
    </row>
    <row r="22" spans="1:5" ht="52.2">
      <c r="A22" s="31" t="s">
        <v>149</v>
      </c>
      <c r="B22" s="72">
        <f>PAY!K24</f>
        <v>2400</v>
      </c>
      <c r="C22" s="32" t="s">
        <v>167</v>
      </c>
      <c r="D22" s="71">
        <v>0</v>
      </c>
      <c r="E22" s="74">
        <f>'OLD TAX PLAN '!O63</f>
        <v>204</v>
      </c>
    </row>
    <row r="23" spans="1:5" ht="23.25" customHeight="1">
      <c r="A23" s="100" t="s">
        <v>170</v>
      </c>
      <c r="B23" s="101"/>
      <c r="C23" s="101"/>
      <c r="D23" s="101"/>
      <c r="E23" s="102"/>
    </row>
    <row r="24" spans="1:5" s="63" customFormat="1" ht="23.25" customHeight="1">
      <c r="A24" s="91" t="s">
        <v>191</v>
      </c>
      <c r="B24" s="92"/>
      <c r="C24" s="92"/>
      <c r="D24" s="92"/>
      <c r="E24" s="93"/>
    </row>
  </sheetData>
  <sheetProtection password="CC27" sheet="1" objects="1" scenarios="1"/>
  <mergeCells count="8">
    <mergeCell ref="A24:E24"/>
    <mergeCell ref="E14:E17"/>
    <mergeCell ref="E20:E21"/>
    <mergeCell ref="A1:E1"/>
    <mergeCell ref="A2:E2"/>
    <mergeCell ref="E10:E12"/>
    <mergeCell ref="E18:E19"/>
    <mergeCell ref="A23:E23"/>
  </mergeCells>
  <pageMargins left="0.25" right="0.25" top="0.75" bottom="0.75" header="0.3" footer="0.3"/>
  <pageSetup paperSize="9" orientation="landscape" horizontalDpi="300" verticalDpi="300" r:id="rId1"/>
</worksheet>
</file>

<file path=xl/worksheets/sheet3.xml><?xml version="1.0" encoding="utf-8"?>
<worksheet xmlns="http://schemas.openxmlformats.org/spreadsheetml/2006/main" xmlns:r="http://schemas.openxmlformats.org/officeDocument/2006/relationships">
  <dimension ref="A1:O68"/>
  <sheetViews>
    <sheetView view="pageLayout" topLeftCell="A13" workbookViewId="0">
      <selection activeCell="B19" sqref="B19:O19"/>
    </sheetView>
  </sheetViews>
  <sheetFormatPr defaultColWidth="9.109375" defaultRowHeight="16.2"/>
  <cols>
    <col min="1" max="1" width="3.33203125" style="12" customWidth="1"/>
    <col min="2" max="2" width="6.44140625" style="1" customWidth="1"/>
    <col min="3" max="3" width="8.109375" style="1" customWidth="1"/>
    <col min="4" max="4" width="3.5546875" style="1" customWidth="1"/>
    <col min="5" max="5" width="6.5546875" style="1" customWidth="1"/>
    <col min="6" max="6" width="1.44140625" style="1" customWidth="1"/>
    <col min="7" max="7" width="5.33203125" style="1" customWidth="1"/>
    <col min="8" max="8" width="9.109375" style="1"/>
    <col min="9" max="9" width="4.44140625" style="1" customWidth="1"/>
    <col min="10" max="10" width="6.6640625" style="1" customWidth="1"/>
    <col min="11" max="11" width="9.109375" style="1"/>
    <col min="12" max="12" width="10.33203125" style="1" customWidth="1"/>
    <col min="13" max="13" width="3.5546875" style="1" customWidth="1"/>
    <col min="14" max="14" width="8" style="1" customWidth="1"/>
    <col min="15" max="15" width="10.6640625" style="12" customWidth="1"/>
    <col min="16" max="16384" width="9.109375" style="1"/>
  </cols>
  <sheetData>
    <row r="1" spans="1:15" ht="18">
      <c r="A1" s="169" t="str">
        <f>PAY!A1</f>
        <v>OFFICE Of  HIGH SCHOOL BALIPUR</v>
      </c>
      <c r="B1" s="169"/>
      <c r="C1" s="169"/>
      <c r="D1" s="169"/>
      <c r="E1" s="169"/>
      <c r="F1" s="169"/>
      <c r="G1" s="169"/>
      <c r="H1" s="169"/>
      <c r="I1" s="169"/>
      <c r="J1" s="169"/>
      <c r="K1" s="169"/>
      <c r="L1" s="169"/>
      <c r="M1" s="169"/>
      <c r="N1" s="169"/>
      <c r="O1" s="169"/>
    </row>
    <row r="2" spans="1:15" ht="21.6" thickBot="1">
      <c r="A2" s="170" t="s">
        <v>189</v>
      </c>
      <c r="B2" s="170"/>
      <c r="C2" s="170"/>
      <c r="D2" s="170"/>
      <c r="E2" s="170"/>
      <c r="F2" s="170"/>
      <c r="G2" s="170"/>
      <c r="H2" s="170"/>
      <c r="I2" s="170"/>
      <c r="J2" s="170"/>
      <c r="K2" s="170"/>
      <c r="L2" s="170"/>
      <c r="M2" s="170"/>
      <c r="N2" s="170"/>
      <c r="O2" s="170"/>
    </row>
    <row r="3" spans="1:15" ht="15.75" customHeight="1">
      <c r="A3" s="2">
        <v>1</v>
      </c>
      <c r="B3" s="171" t="s">
        <v>98</v>
      </c>
      <c r="C3" s="172"/>
      <c r="D3" s="176" t="str">
        <f>PAY!B3</f>
        <v>Laxman Devda</v>
      </c>
      <c r="E3" s="176"/>
      <c r="F3" s="176"/>
      <c r="G3" s="176"/>
      <c r="H3" s="176"/>
      <c r="I3" s="176"/>
      <c r="J3" s="19" t="s">
        <v>99</v>
      </c>
      <c r="K3" s="179" t="str">
        <f>PAY!B4</f>
        <v xml:space="preserve">Madhymik Shikshak </v>
      </c>
      <c r="L3" s="179"/>
      <c r="M3" s="18" t="s">
        <v>100</v>
      </c>
      <c r="N3" s="180" t="str">
        <f>PAY!L3</f>
        <v>KLP00232K</v>
      </c>
      <c r="O3" s="181"/>
    </row>
    <row r="4" spans="1:15">
      <c r="A4" s="49">
        <v>2</v>
      </c>
      <c r="B4" s="173" t="s">
        <v>199</v>
      </c>
      <c r="C4" s="173"/>
      <c r="D4" s="132"/>
      <c r="E4" s="132"/>
      <c r="F4" s="132"/>
      <c r="G4" s="132"/>
      <c r="H4" s="132"/>
      <c r="I4" s="132"/>
      <c r="J4" s="173"/>
      <c r="K4" s="132"/>
      <c r="L4" s="132"/>
      <c r="M4" s="132"/>
      <c r="N4" s="173"/>
      <c r="O4" s="65">
        <f>PAY!H24</f>
        <v>644304</v>
      </c>
    </row>
    <row r="5" spans="1:15">
      <c r="A5" s="49">
        <v>3</v>
      </c>
      <c r="B5" s="174" t="s">
        <v>122</v>
      </c>
      <c r="C5" s="174"/>
      <c r="D5" s="174"/>
      <c r="E5" s="174"/>
      <c r="F5" s="174"/>
      <c r="G5" s="174"/>
      <c r="H5" s="174"/>
      <c r="I5" s="174"/>
      <c r="J5" s="174"/>
      <c r="K5" s="174"/>
      <c r="L5" s="174"/>
      <c r="M5" s="174"/>
      <c r="N5" s="174"/>
      <c r="O5" s="66">
        <f>DEDUCTION!B4</f>
        <v>0</v>
      </c>
    </row>
    <row r="6" spans="1:15">
      <c r="A6" s="49">
        <v>4</v>
      </c>
      <c r="B6" s="161" t="s">
        <v>123</v>
      </c>
      <c r="C6" s="161"/>
      <c r="D6" s="161"/>
      <c r="E6" s="161"/>
      <c r="F6" s="161"/>
      <c r="G6" s="161"/>
      <c r="H6" s="161"/>
      <c r="I6" s="161"/>
      <c r="J6" s="161"/>
      <c r="K6" s="161"/>
      <c r="L6" s="161"/>
      <c r="M6" s="161"/>
      <c r="N6" s="161"/>
      <c r="O6" s="66">
        <f>O4-O5</f>
        <v>644304</v>
      </c>
    </row>
    <row r="7" spans="1:15">
      <c r="A7" s="127">
        <v>5</v>
      </c>
      <c r="B7" s="103" t="s">
        <v>96</v>
      </c>
      <c r="C7" s="133"/>
      <c r="D7" s="133"/>
      <c r="E7" s="133"/>
      <c r="F7" s="133"/>
      <c r="G7" s="133"/>
      <c r="H7" s="133"/>
      <c r="I7" s="133"/>
      <c r="J7" s="133"/>
      <c r="K7" s="133"/>
      <c r="L7" s="115">
        <f>DEDUCTION!B5</f>
        <v>0</v>
      </c>
      <c r="M7" s="115"/>
      <c r="N7" s="115"/>
      <c r="O7" s="177"/>
    </row>
    <row r="8" spans="1:15">
      <c r="A8" s="128"/>
      <c r="B8" s="103" t="s">
        <v>97</v>
      </c>
      <c r="C8" s="133"/>
      <c r="D8" s="133"/>
      <c r="E8" s="133"/>
      <c r="F8" s="133"/>
      <c r="G8" s="133"/>
      <c r="H8" s="133"/>
      <c r="I8" s="133"/>
      <c r="J8" s="133"/>
      <c r="K8" s="133"/>
      <c r="L8" s="115">
        <f>DEDUCTION!B6</f>
        <v>2500</v>
      </c>
      <c r="M8" s="115"/>
      <c r="N8" s="115"/>
      <c r="O8" s="178"/>
    </row>
    <row r="9" spans="1:15">
      <c r="A9" s="129"/>
      <c r="B9" s="103" t="s">
        <v>116</v>
      </c>
      <c r="C9" s="133"/>
      <c r="D9" s="133"/>
      <c r="E9" s="133"/>
      <c r="F9" s="133"/>
      <c r="G9" s="133"/>
      <c r="H9" s="133"/>
      <c r="I9" s="133"/>
      <c r="J9" s="133"/>
      <c r="K9" s="133"/>
      <c r="L9" s="115">
        <f>IF(O6&lt;50000,O6,50000)</f>
        <v>50000</v>
      </c>
      <c r="M9" s="115"/>
      <c r="N9" s="115"/>
      <c r="O9" s="66">
        <f>L9+L8+L7</f>
        <v>52500</v>
      </c>
    </row>
    <row r="10" spans="1:15">
      <c r="A10" s="49">
        <v>6</v>
      </c>
      <c r="B10" s="175" t="s">
        <v>13</v>
      </c>
      <c r="C10" s="175"/>
      <c r="D10" s="175"/>
      <c r="E10" s="175"/>
      <c r="F10" s="175"/>
      <c r="G10" s="175"/>
      <c r="H10" s="175"/>
      <c r="I10" s="175"/>
      <c r="J10" s="175"/>
      <c r="K10" s="175"/>
      <c r="L10" s="175"/>
      <c r="M10" s="175"/>
      <c r="N10" s="175"/>
      <c r="O10" s="66">
        <f>O6-O9</f>
        <v>591804</v>
      </c>
    </row>
    <row r="11" spans="1:15">
      <c r="A11" s="189">
        <v>7</v>
      </c>
      <c r="B11" s="132" t="s">
        <v>94</v>
      </c>
      <c r="C11" s="132"/>
      <c r="D11" s="132"/>
      <c r="E11" s="132"/>
      <c r="F11" s="132"/>
      <c r="G11" s="132"/>
      <c r="H11" s="132"/>
      <c r="I11" s="132"/>
      <c r="J11" s="114" t="s">
        <v>95</v>
      </c>
      <c r="K11" s="114"/>
      <c r="L11" s="115">
        <f>DEDUCTION!B7</f>
        <v>0</v>
      </c>
      <c r="M11" s="115"/>
      <c r="N11" s="115"/>
      <c r="O11" s="188"/>
    </row>
    <row r="12" spans="1:15">
      <c r="A12" s="189"/>
      <c r="B12" s="118" t="s">
        <v>93</v>
      </c>
      <c r="C12" s="119"/>
      <c r="D12" s="193" t="s">
        <v>89</v>
      </c>
      <c r="E12" s="194"/>
      <c r="F12" s="195"/>
      <c r="G12" s="114" t="s">
        <v>90</v>
      </c>
      <c r="H12" s="114"/>
      <c r="I12" s="114"/>
      <c r="J12" s="114" t="s">
        <v>91</v>
      </c>
      <c r="K12" s="114"/>
      <c r="L12" s="114" t="s">
        <v>92</v>
      </c>
      <c r="M12" s="114"/>
      <c r="N12" s="114"/>
      <c r="O12" s="188"/>
    </row>
    <row r="13" spans="1:15">
      <c r="A13" s="189"/>
      <c r="B13" s="120"/>
      <c r="C13" s="121"/>
      <c r="D13" s="190">
        <f>ROUND(L11*0.3,0)</f>
        <v>0</v>
      </c>
      <c r="E13" s="191"/>
      <c r="F13" s="192"/>
      <c r="G13" s="115">
        <f>DEDUCTION!B10</f>
        <v>0</v>
      </c>
      <c r="H13" s="115"/>
      <c r="I13" s="115"/>
      <c r="J13" s="115">
        <f>DEDUCTION!B8</f>
        <v>0</v>
      </c>
      <c r="K13" s="115"/>
      <c r="L13" s="115">
        <f>D13+G13+J13</f>
        <v>0</v>
      </c>
      <c r="M13" s="115"/>
      <c r="N13" s="115"/>
      <c r="O13" s="188"/>
    </row>
    <row r="14" spans="1:15">
      <c r="A14" s="49"/>
      <c r="B14" s="161" t="s">
        <v>124</v>
      </c>
      <c r="C14" s="161"/>
      <c r="D14" s="161"/>
      <c r="E14" s="161"/>
      <c r="F14" s="161"/>
      <c r="G14" s="161"/>
      <c r="H14" s="161"/>
      <c r="I14" s="161"/>
      <c r="J14" s="161"/>
      <c r="K14" s="161"/>
      <c r="L14" s="161"/>
      <c r="M14" s="161"/>
      <c r="N14" s="161"/>
      <c r="O14" s="3">
        <f>L11-L13</f>
        <v>0</v>
      </c>
    </row>
    <row r="15" spans="1:15">
      <c r="A15" s="49">
        <v>8</v>
      </c>
      <c r="B15" s="161" t="s">
        <v>125</v>
      </c>
      <c r="C15" s="161"/>
      <c r="D15" s="161"/>
      <c r="E15" s="161"/>
      <c r="F15" s="161"/>
      <c r="G15" s="161"/>
      <c r="H15" s="161"/>
      <c r="I15" s="161"/>
      <c r="J15" s="161"/>
      <c r="K15" s="161"/>
      <c r="L15" s="161"/>
      <c r="M15" s="161"/>
      <c r="N15" s="161"/>
      <c r="O15" s="66">
        <f>O14+O10</f>
        <v>591804</v>
      </c>
    </row>
    <row r="16" spans="1:15">
      <c r="A16" s="49">
        <v>9</v>
      </c>
      <c r="B16" s="132" t="s">
        <v>87</v>
      </c>
      <c r="C16" s="174"/>
      <c r="D16" s="174"/>
      <c r="E16" s="174"/>
      <c r="F16" s="174"/>
      <c r="G16" s="174"/>
      <c r="H16" s="174"/>
      <c r="I16" s="174"/>
      <c r="J16" s="174"/>
      <c r="K16" s="174"/>
      <c r="L16" s="174"/>
      <c r="M16" s="174"/>
      <c r="N16" s="174"/>
      <c r="O16" s="66">
        <f>DEDUCTION!D4+DEDUCTION!D5</f>
        <v>0</v>
      </c>
    </row>
    <row r="17" spans="1:15">
      <c r="A17" s="49">
        <v>10</v>
      </c>
      <c r="B17" s="132" t="s">
        <v>88</v>
      </c>
      <c r="C17" s="174"/>
      <c r="D17" s="174"/>
      <c r="E17" s="174"/>
      <c r="F17" s="174"/>
      <c r="G17" s="174"/>
      <c r="H17" s="174"/>
      <c r="I17" s="174"/>
      <c r="J17" s="174"/>
      <c r="K17" s="174"/>
      <c r="L17" s="174"/>
      <c r="M17" s="174"/>
      <c r="N17" s="174"/>
      <c r="O17" s="65">
        <f>O16+O15</f>
        <v>591804</v>
      </c>
    </row>
    <row r="18" spans="1:15" ht="14.4">
      <c r="A18" s="127">
        <v>11</v>
      </c>
      <c r="B18" s="130" t="s">
        <v>126</v>
      </c>
      <c r="C18" s="150"/>
      <c r="D18" s="150"/>
      <c r="E18" s="150"/>
      <c r="F18" s="150"/>
      <c r="G18" s="150"/>
      <c r="H18" s="150"/>
      <c r="I18" s="150"/>
      <c r="J18" s="150"/>
      <c r="K18" s="150"/>
      <c r="L18" s="150"/>
      <c r="M18" s="150"/>
      <c r="N18" s="150"/>
      <c r="O18" s="182"/>
    </row>
    <row r="19" spans="1:15" ht="14.4">
      <c r="A19" s="128"/>
      <c r="B19" s="132" t="s">
        <v>101</v>
      </c>
      <c r="C19" s="183"/>
      <c r="D19" s="183"/>
      <c r="E19" s="183"/>
      <c r="F19" s="183"/>
      <c r="G19" s="183"/>
      <c r="H19" s="183"/>
      <c r="I19" s="183"/>
      <c r="J19" s="183"/>
      <c r="K19" s="183"/>
      <c r="L19" s="183"/>
      <c r="M19" s="183"/>
      <c r="N19" s="183"/>
      <c r="O19" s="184"/>
    </row>
    <row r="20" spans="1:15" ht="36.75" customHeight="1">
      <c r="A20" s="128"/>
      <c r="B20" s="4" t="s">
        <v>14</v>
      </c>
      <c r="C20" s="116" t="s">
        <v>65</v>
      </c>
      <c r="D20" s="116"/>
      <c r="E20" s="116"/>
      <c r="F20" s="116"/>
      <c r="G20" s="46" t="s">
        <v>85</v>
      </c>
      <c r="H20" s="76">
        <f>DEDUCTION!B21</f>
        <v>0</v>
      </c>
      <c r="I20" s="4" t="s">
        <v>15</v>
      </c>
      <c r="J20" s="117" t="s">
        <v>74</v>
      </c>
      <c r="K20" s="117"/>
      <c r="L20" s="117"/>
      <c r="M20" s="46" t="s">
        <v>85</v>
      </c>
      <c r="N20" s="76">
        <f>DEDUCTION!D20</f>
        <v>0</v>
      </c>
      <c r="O20" s="177"/>
    </row>
    <row r="21" spans="1:15" ht="33" customHeight="1">
      <c r="A21" s="128"/>
      <c r="B21" s="4" t="s">
        <v>16</v>
      </c>
      <c r="C21" s="116" t="s">
        <v>66</v>
      </c>
      <c r="D21" s="116"/>
      <c r="E21" s="116"/>
      <c r="F21" s="116"/>
      <c r="G21" s="46" t="s">
        <v>85</v>
      </c>
      <c r="H21" s="76">
        <f>DEDUCTION!B11</f>
        <v>0</v>
      </c>
      <c r="I21" s="4" t="s">
        <v>17</v>
      </c>
      <c r="J21" s="113" t="s">
        <v>103</v>
      </c>
      <c r="K21" s="113"/>
      <c r="L21" s="113"/>
      <c r="M21" s="46" t="s">
        <v>85</v>
      </c>
      <c r="N21" s="76">
        <f>DEDUCTION!D21</f>
        <v>64428</v>
      </c>
      <c r="O21" s="187"/>
    </row>
    <row r="22" spans="1:15" ht="15.75" customHeight="1">
      <c r="A22" s="128"/>
      <c r="B22" s="5" t="s">
        <v>18</v>
      </c>
      <c r="C22" s="117" t="s">
        <v>67</v>
      </c>
      <c r="D22" s="117"/>
      <c r="E22" s="117"/>
      <c r="F22" s="117"/>
      <c r="G22" s="17" t="s">
        <v>85</v>
      </c>
      <c r="H22" s="77">
        <f>DEDUCTION!B15</f>
        <v>24000</v>
      </c>
      <c r="I22" s="4" t="s">
        <v>19</v>
      </c>
      <c r="J22" s="113" t="s">
        <v>75</v>
      </c>
      <c r="K22" s="113"/>
      <c r="L22" s="113"/>
      <c r="M22" s="46" t="s">
        <v>85</v>
      </c>
      <c r="N22" s="78">
        <f>DEDUCTION!B16</f>
        <v>0</v>
      </c>
      <c r="O22" s="187"/>
    </row>
    <row r="23" spans="1:15" ht="15.75" customHeight="1">
      <c r="A23" s="128"/>
      <c r="B23" s="4" t="s">
        <v>20</v>
      </c>
      <c r="C23" s="116" t="s">
        <v>68</v>
      </c>
      <c r="D23" s="116"/>
      <c r="E23" s="116"/>
      <c r="F23" s="116"/>
      <c r="G23" s="46" t="s">
        <v>85</v>
      </c>
      <c r="H23" s="76">
        <f>DEDUCTION!B17</f>
        <v>0</v>
      </c>
      <c r="I23" s="4" t="s">
        <v>21</v>
      </c>
      <c r="J23" s="113" t="s">
        <v>76</v>
      </c>
      <c r="K23" s="113"/>
      <c r="L23" s="113"/>
      <c r="M23" s="46" t="s">
        <v>85</v>
      </c>
      <c r="N23" s="78">
        <f>DEDUCTION!B13</f>
        <v>0</v>
      </c>
      <c r="O23" s="187"/>
    </row>
    <row r="24" spans="1:15" ht="15.75" customHeight="1">
      <c r="A24" s="128"/>
      <c r="B24" s="5" t="s">
        <v>22</v>
      </c>
      <c r="C24" s="117" t="s">
        <v>69</v>
      </c>
      <c r="D24" s="117"/>
      <c r="E24" s="117"/>
      <c r="F24" s="117"/>
      <c r="G24" s="17" t="s">
        <v>85</v>
      </c>
      <c r="H24" s="77">
        <f>DEDUCTION!B18</f>
        <v>0</v>
      </c>
      <c r="I24" s="4" t="s">
        <v>23</v>
      </c>
      <c r="J24" s="113" t="s">
        <v>77</v>
      </c>
      <c r="K24" s="113"/>
      <c r="L24" s="113"/>
      <c r="M24" s="46" t="s">
        <v>85</v>
      </c>
      <c r="N24" s="76">
        <f>DEDUCTION!D16</f>
        <v>0</v>
      </c>
      <c r="O24" s="187"/>
    </row>
    <row r="25" spans="1:15" ht="15.75" customHeight="1">
      <c r="A25" s="128"/>
      <c r="B25" s="4" t="s">
        <v>24</v>
      </c>
      <c r="C25" s="155" t="s">
        <v>70</v>
      </c>
      <c r="D25" s="156"/>
      <c r="E25" s="156"/>
      <c r="F25" s="157"/>
      <c r="G25" s="46" t="s">
        <v>85</v>
      </c>
      <c r="H25" s="76">
        <f>DEDUCTION!B20</f>
        <v>0</v>
      </c>
      <c r="I25" s="4" t="s">
        <v>25</v>
      </c>
      <c r="J25" s="113" t="s">
        <v>127</v>
      </c>
      <c r="K25" s="113"/>
      <c r="L25" s="113"/>
      <c r="M25" s="46" t="s">
        <v>85</v>
      </c>
      <c r="N25" s="76">
        <f>DEDUCTION!D17</f>
        <v>0</v>
      </c>
      <c r="O25" s="187"/>
    </row>
    <row r="26" spans="1:15" ht="15.75" customHeight="1">
      <c r="A26" s="128"/>
      <c r="B26" s="5" t="s">
        <v>26</v>
      </c>
      <c r="C26" s="117" t="s">
        <v>71</v>
      </c>
      <c r="D26" s="117"/>
      <c r="E26" s="117"/>
      <c r="F26" s="117"/>
      <c r="G26" s="17" t="s">
        <v>85</v>
      </c>
      <c r="H26" s="77">
        <f>DEDUCTION!B22</f>
        <v>2400</v>
      </c>
      <c r="I26" s="4" t="s">
        <v>27</v>
      </c>
      <c r="J26" s="117" t="s">
        <v>78</v>
      </c>
      <c r="K26" s="117"/>
      <c r="L26" s="117"/>
      <c r="M26" s="46" t="s">
        <v>85</v>
      </c>
      <c r="N26" s="76">
        <f>DEDUCTION!B12</f>
        <v>0</v>
      </c>
      <c r="O26" s="187"/>
    </row>
    <row r="27" spans="1:15" ht="15.75" customHeight="1">
      <c r="A27" s="128"/>
      <c r="B27" s="4" t="s">
        <v>28</v>
      </c>
      <c r="C27" s="116" t="s">
        <v>72</v>
      </c>
      <c r="D27" s="116"/>
      <c r="E27" s="116"/>
      <c r="F27" s="116"/>
      <c r="G27" s="46" t="s">
        <v>85</v>
      </c>
      <c r="H27" s="78">
        <f>DEDUCTION!B14</f>
        <v>0</v>
      </c>
      <c r="I27" s="4" t="s">
        <v>29</v>
      </c>
      <c r="J27" s="158" t="s">
        <v>79</v>
      </c>
      <c r="K27" s="159"/>
      <c r="L27" s="160"/>
      <c r="M27" s="46" t="s">
        <v>85</v>
      </c>
      <c r="N27" s="76">
        <f>DEDUCTION!B19</f>
        <v>0</v>
      </c>
      <c r="O27" s="187"/>
    </row>
    <row r="28" spans="1:15" ht="31.5" customHeight="1">
      <c r="A28" s="128"/>
      <c r="B28" s="4" t="s">
        <v>30</v>
      </c>
      <c r="C28" s="116" t="s">
        <v>73</v>
      </c>
      <c r="D28" s="116"/>
      <c r="E28" s="116"/>
      <c r="F28" s="116"/>
      <c r="G28" s="46" t="s">
        <v>85</v>
      </c>
      <c r="H28" s="76">
        <f>DEDUCTION!B9</f>
        <v>0</v>
      </c>
      <c r="I28" s="4" t="s">
        <v>31</v>
      </c>
      <c r="J28" s="117" t="s">
        <v>80</v>
      </c>
      <c r="K28" s="117"/>
      <c r="L28" s="117"/>
      <c r="M28" s="46" t="s">
        <v>85</v>
      </c>
      <c r="N28" s="76">
        <f>DEDUCTION!D6</f>
        <v>0</v>
      </c>
      <c r="O28" s="187"/>
    </row>
    <row r="29" spans="1:15">
      <c r="A29" s="128"/>
      <c r="B29" s="135" t="s">
        <v>81</v>
      </c>
      <c r="C29" s="185"/>
      <c r="D29" s="185"/>
      <c r="E29" s="185"/>
      <c r="F29" s="185"/>
      <c r="G29" s="185"/>
      <c r="H29" s="185"/>
      <c r="I29" s="185"/>
      <c r="J29" s="185"/>
      <c r="K29" s="185"/>
      <c r="L29" s="186"/>
      <c r="M29" s="46" t="s">
        <v>85</v>
      </c>
      <c r="N29" s="70">
        <f>N28+N27+N26+N25+N24+N23+N22+N21+N20+H28+H27+H26+H25+H24+H23+H22+H21+H20</f>
        <v>90828</v>
      </c>
      <c r="O29" s="178"/>
    </row>
    <row r="30" spans="1:15">
      <c r="A30" s="128"/>
      <c r="B30" s="161" t="s">
        <v>128</v>
      </c>
      <c r="C30" s="161"/>
      <c r="D30" s="161"/>
      <c r="E30" s="161"/>
      <c r="F30" s="161"/>
      <c r="G30" s="161"/>
      <c r="H30" s="161"/>
      <c r="I30" s="161"/>
      <c r="J30" s="161"/>
      <c r="K30" s="161"/>
      <c r="L30" s="161"/>
      <c r="M30" s="161"/>
      <c r="N30" s="161"/>
      <c r="O30" s="65">
        <f>IF(N29&lt;150001,ROUND(N29,0),150000)</f>
        <v>90828</v>
      </c>
    </row>
    <row r="31" spans="1:15">
      <c r="A31" s="128"/>
      <c r="B31" s="103" t="s">
        <v>102</v>
      </c>
      <c r="C31" s="104"/>
      <c r="D31" s="104"/>
      <c r="E31" s="104"/>
      <c r="F31" s="104"/>
      <c r="G31" s="104"/>
      <c r="H31" s="104"/>
      <c r="I31" s="104"/>
      <c r="J31" s="104"/>
      <c r="K31" s="104"/>
      <c r="L31" s="104"/>
      <c r="M31" s="104"/>
      <c r="N31" s="105"/>
      <c r="O31" s="66">
        <f>DEDUCTION!D7</f>
        <v>0</v>
      </c>
    </row>
    <row r="32" spans="1:15">
      <c r="A32" s="128"/>
      <c r="B32" s="163" t="s">
        <v>129</v>
      </c>
      <c r="C32" s="164"/>
      <c r="D32" s="164"/>
      <c r="E32" s="164"/>
      <c r="F32" s="164"/>
      <c r="G32" s="164"/>
      <c r="H32" s="164"/>
      <c r="I32" s="164"/>
      <c r="J32" s="164"/>
      <c r="K32" s="164"/>
      <c r="L32" s="164"/>
      <c r="M32" s="164"/>
      <c r="N32" s="165"/>
      <c r="O32" s="66">
        <f>IF(DEDUCTION!D8&lt;50001,ROUND(DEDUCTION!D8,0),50000)</f>
        <v>0</v>
      </c>
    </row>
    <row r="33" spans="1:15">
      <c r="A33" s="129"/>
      <c r="B33" s="161" t="s">
        <v>130</v>
      </c>
      <c r="C33" s="161"/>
      <c r="D33" s="161"/>
      <c r="E33" s="161"/>
      <c r="F33" s="161"/>
      <c r="G33" s="161"/>
      <c r="H33" s="161"/>
      <c r="I33" s="161"/>
      <c r="J33" s="161"/>
      <c r="K33" s="161"/>
      <c r="L33" s="161"/>
      <c r="M33" s="161"/>
      <c r="N33" s="161"/>
      <c r="O33" s="65">
        <f>O32+O31+O30</f>
        <v>90828</v>
      </c>
    </row>
    <row r="34" spans="1:15">
      <c r="A34" s="127">
        <v>12</v>
      </c>
      <c r="B34" s="130" t="s">
        <v>86</v>
      </c>
      <c r="C34" s="130"/>
      <c r="D34" s="130"/>
      <c r="E34" s="130"/>
      <c r="F34" s="130"/>
      <c r="G34" s="130"/>
      <c r="H34" s="130"/>
      <c r="I34" s="130"/>
      <c r="J34" s="130"/>
      <c r="K34" s="130"/>
      <c r="L34" s="130"/>
      <c r="M34" s="130"/>
      <c r="N34" s="130"/>
      <c r="O34" s="131"/>
    </row>
    <row r="35" spans="1:15" ht="18" customHeight="1">
      <c r="A35" s="128"/>
      <c r="B35" s="103" t="s">
        <v>169</v>
      </c>
      <c r="C35" s="104"/>
      <c r="D35" s="104"/>
      <c r="E35" s="104"/>
      <c r="F35" s="104"/>
      <c r="G35" s="104"/>
      <c r="H35" s="104"/>
      <c r="I35" s="104"/>
      <c r="J35" s="104"/>
      <c r="K35" s="104"/>
      <c r="L35" s="104"/>
      <c r="M35" s="104"/>
      <c r="N35" s="105"/>
      <c r="O35" s="66">
        <f>DEDUCTION!D9</f>
        <v>0</v>
      </c>
    </row>
    <row r="36" spans="1:15" ht="18" customHeight="1">
      <c r="A36" s="128"/>
      <c r="B36" s="132" t="s">
        <v>82</v>
      </c>
      <c r="C36" s="132"/>
      <c r="D36" s="132"/>
      <c r="E36" s="132"/>
      <c r="F36" s="132"/>
      <c r="G36" s="132"/>
      <c r="H36" s="132"/>
      <c r="I36" s="132"/>
      <c r="J36" s="132"/>
      <c r="K36" s="132"/>
      <c r="L36" s="132"/>
      <c r="M36" s="132"/>
      <c r="N36" s="132"/>
      <c r="O36" s="66">
        <f>DEDUCTION!D10</f>
        <v>0</v>
      </c>
    </row>
    <row r="37" spans="1:15" ht="34.5" customHeight="1">
      <c r="A37" s="128"/>
      <c r="B37" s="132" t="s">
        <v>171</v>
      </c>
      <c r="C37" s="132"/>
      <c r="D37" s="132"/>
      <c r="E37" s="132"/>
      <c r="F37" s="132"/>
      <c r="G37" s="132"/>
      <c r="H37" s="132"/>
      <c r="I37" s="132"/>
      <c r="J37" s="132"/>
      <c r="K37" s="132"/>
      <c r="L37" s="132"/>
      <c r="M37" s="132"/>
      <c r="N37" s="132"/>
      <c r="O37" s="66">
        <f>DEDUCTION!D11</f>
        <v>0</v>
      </c>
    </row>
    <row r="38" spans="1:15" ht="18" customHeight="1">
      <c r="A38" s="128"/>
      <c r="B38" s="132" t="s">
        <v>83</v>
      </c>
      <c r="C38" s="132"/>
      <c r="D38" s="132"/>
      <c r="E38" s="132"/>
      <c r="F38" s="132"/>
      <c r="G38" s="132"/>
      <c r="H38" s="132"/>
      <c r="I38" s="132"/>
      <c r="J38" s="132"/>
      <c r="K38" s="132"/>
      <c r="L38" s="132"/>
      <c r="M38" s="132"/>
      <c r="N38" s="132"/>
      <c r="O38" s="66">
        <f>DEDUCTION!D12</f>
        <v>0</v>
      </c>
    </row>
    <row r="39" spans="1:15" ht="36" customHeight="1">
      <c r="A39" s="128"/>
      <c r="B39" s="132" t="s">
        <v>84</v>
      </c>
      <c r="C39" s="132"/>
      <c r="D39" s="132"/>
      <c r="E39" s="132"/>
      <c r="F39" s="132"/>
      <c r="G39" s="132"/>
      <c r="H39" s="132"/>
      <c r="I39" s="132"/>
      <c r="J39" s="132"/>
      <c r="K39" s="132"/>
      <c r="L39" s="132"/>
      <c r="M39" s="132"/>
      <c r="N39" s="132"/>
      <c r="O39" s="66">
        <f>DEDUCTION!D13</f>
        <v>0</v>
      </c>
    </row>
    <row r="40" spans="1:15" ht="23.25" customHeight="1">
      <c r="A40" s="128"/>
      <c r="B40" s="103" t="s">
        <v>147</v>
      </c>
      <c r="C40" s="104"/>
      <c r="D40" s="104"/>
      <c r="E40" s="104"/>
      <c r="F40" s="104"/>
      <c r="G40" s="104"/>
      <c r="H40" s="104"/>
      <c r="I40" s="104"/>
      <c r="J40" s="104"/>
      <c r="K40" s="104"/>
      <c r="L40" s="104"/>
      <c r="M40" s="104"/>
      <c r="N40" s="105"/>
      <c r="O40" s="66">
        <f>DEDUCTION!D22</f>
        <v>0</v>
      </c>
    </row>
    <row r="41" spans="1:15" ht="18" customHeight="1">
      <c r="A41" s="128"/>
      <c r="B41" s="103" t="s">
        <v>143</v>
      </c>
      <c r="C41" s="133"/>
      <c r="D41" s="133"/>
      <c r="E41" s="133"/>
      <c r="F41" s="133"/>
      <c r="G41" s="133"/>
      <c r="H41" s="133"/>
      <c r="I41" s="133"/>
      <c r="J41" s="133"/>
      <c r="K41" s="133"/>
      <c r="L41" s="133"/>
      <c r="M41" s="133"/>
      <c r="N41" s="134"/>
      <c r="O41" s="66">
        <f>DEDUCTION!D15</f>
        <v>0</v>
      </c>
    </row>
    <row r="42" spans="1:15" ht="18" customHeight="1">
      <c r="A42" s="128"/>
      <c r="B42" s="103" t="s">
        <v>144</v>
      </c>
      <c r="C42" s="104"/>
      <c r="D42" s="104"/>
      <c r="E42" s="104"/>
      <c r="F42" s="104"/>
      <c r="G42" s="104"/>
      <c r="H42" s="104"/>
      <c r="I42" s="104"/>
      <c r="J42" s="104"/>
      <c r="K42" s="104"/>
      <c r="L42" s="104"/>
      <c r="M42" s="104"/>
      <c r="N42" s="105"/>
      <c r="O42" s="66">
        <f>DEDUCTION!D14</f>
        <v>0</v>
      </c>
    </row>
    <row r="43" spans="1:15" ht="36.75" customHeight="1">
      <c r="A43" s="128"/>
      <c r="B43" s="103" t="s">
        <v>145</v>
      </c>
      <c r="C43" s="104"/>
      <c r="D43" s="104"/>
      <c r="E43" s="104"/>
      <c r="F43" s="104"/>
      <c r="G43" s="104"/>
      <c r="H43" s="104"/>
      <c r="I43" s="104"/>
      <c r="J43" s="104"/>
      <c r="K43" s="104"/>
      <c r="L43" s="104"/>
      <c r="M43" s="104"/>
      <c r="N43" s="105"/>
      <c r="O43" s="66">
        <f>IF(DEDUCTION!D4&lt;10001,ROUND(DEDUCTION!D4,0),10000)</f>
        <v>0</v>
      </c>
    </row>
    <row r="44" spans="1:15" ht="18" customHeight="1">
      <c r="A44" s="129"/>
      <c r="B44" s="135" t="s">
        <v>146</v>
      </c>
      <c r="C44" s="136"/>
      <c r="D44" s="136"/>
      <c r="E44" s="136"/>
      <c r="F44" s="136"/>
      <c r="G44" s="136"/>
      <c r="H44" s="136"/>
      <c r="I44" s="136"/>
      <c r="J44" s="136"/>
      <c r="K44" s="136"/>
      <c r="L44" s="136"/>
      <c r="M44" s="136"/>
      <c r="N44" s="137"/>
      <c r="O44" s="75">
        <f>O43+O42+O41+O40+O39+O38+O37+O36+O35</f>
        <v>0</v>
      </c>
    </row>
    <row r="45" spans="1:15">
      <c r="A45" s="49">
        <v>13</v>
      </c>
      <c r="B45" s="166" t="s">
        <v>131</v>
      </c>
      <c r="C45" s="167"/>
      <c r="D45" s="167"/>
      <c r="E45" s="167"/>
      <c r="F45" s="167"/>
      <c r="G45" s="167"/>
      <c r="H45" s="167"/>
      <c r="I45" s="167"/>
      <c r="J45" s="167"/>
      <c r="K45" s="167"/>
      <c r="L45" s="167"/>
      <c r="M45" s="167"/>
      <c r="N45" s="167"/>
      <c r="O45" s="66">
        <f>O44+O33</f>
        <v>90828</v>
      </c>
    </row>
    <row r="46" spans="1:15">
      <c r="A46" s="49">
        <v>14</v>
      </c>
      <c r="B46" s="168" t="s">
        <v>132</v>
      </c>
      <c r="C46" s="161"/>
      <c r="D46" s="161"/>
      <c r="E46" s="161"/>
      <c r="F46" s="161"/>
      <c r="G46" s="161"/>
      <c r="H46" s="161"/>
      <c r="I46" s="161"/>
      <c r="J46" s="161"/>
      <c r="K46" s="161"/>
      <c r="L46" s="161"/>
      <c r="M46" s="161"/>
      <c r="N46" s="161"/>
      <c r="O46" s="66">
        <f>O17-O45</f>
        <v>500976</v>
      </c>
    </row>
    <row r="47" spans="1:15">
      <c r="A47" s="49">
        <v>15</v>
      </c>
      <c r="B47" s="167" t="s">
        <v>133</v>
      </c>
      <c r="C47" s="167"/>
      <c r="D47" s="167"/>
      <c r="E47" s="167"/>
      <c r="F47" s="167"/>
      <c r="G47" s="167"/>
      <c r="H47" s="167"/>
      <c r="I47" s="167"/>
      <c r="J47" s="167"/>
      <c r="K47" s="167"/>
      <c r="L47" s="167"/>
      <c r="M47" s="167"/>
      <c r="N47" s="167"/>
      <c r="O47" s="65">
        <f>ROUND(O46,-1)</f>
        <v>500980</v>
      </c>
    </row>
    <row r="48" spans="1:15">
      <c r="A48" s="127">
        <v>16</v>
      </c>
      <c r="B48" s="132" t="s">
        <v>104</v>
      </c>
      <c r="C48" s="132"/>
      <c r="D48" s="132"/>
      <c r="E48" s="132"/>
      <c r="F48" s="132"/>
      <c r="G48" s="132"/>
      <c r="H48" s="132"/>
      <c r="I48" s="132"/>
      <c r="J48" s="132"/>
      <c r="K48" s="132"/>
      <c r="L48" s="132"/>
      <c r="M48" s="132"/>
      <c r="N48" s="132"/>
      <c r="O48" s="143"/>
    </row>
    <row r="49" spans="1:15">
      <c r="A49" s="128"/>
      <c r="B49" s="144" t="s">
        <v>105</v>
      </c>
      <c r="C49" s="144"/>
      <c r="D49" s="144"/>
      <c r="E49" s="144"/>
      <c r="F49" s="144"/>
      <c r="G49" s="144" t="s">
        <v>106</v>
      </c>
      <c r="H49" s="144"/>
      <c r="I49" s="144"/>
      <c r="J49" s="144"/>
      <c r="K49" s="145" t="s">
        <v>107</v>
      </c>
      <c r="L49" s="146"/>
      <c r="M49" s="146"/>
      <c r="N49" s="147"/>
      <c r="O49" s="6"/>
    </row>
    <row r="50" spans="1:15">
      <c r="A50" s="128"/>
      <c r="B50" s="107" t="s">
        <v>134</v>
      </c>
      <c r="C50" s="108"/>
      <c r="D50" s="109"/>
      <c r="E50" s="106" t="s">
        <v>32</v>
      </c>
      <c r="F50" s="106"/>
      <c r="G50" s="107" t="s">
        <v>135</v>
      </c>
      <c r="H50" s="108"/>
      <c r="I50" s="109"/>
      <c r="J50" s="45" t="s">
        <v>32</v>
      </c>
      <c r="K50" s="107"/>
      <c r="L50" s="108"/>
      <c r="M50" s="109"/>
      <c r="N50" s="45"/>
      <c r="O50" s="67">
        <v>0</v>
      </c>
    </row>
    <row r="51" spans="1:15">
      <c r="A51" s="128"/>
      <c r="B51" s="107" t="s">
        <v>33</v>
      </c>
      <c r="C51" s="108"/>
      <c r="D51" s="109"/>
      <c r="E51" s="125">
        <v>0.05</v>
      </c>
      <c r="F51" s="106"/>
      <c r="G51" s="106" t="s">
        <v>34</v>
      </c>
      <c r="H51" s="106"/>
      <c r="I51" s="106"/>
      <c r="J51" s="47">
        <v>0.05</v>
      </c>
      <c r="K51" s="107" t="s">
        <v>136</v>
      </c>
      <c r="L51" s="108"/>
      <c r="M51" s="109"/>
      <c r="N51" s="45" t="s">
        <v>32</v>
      </c>
      <c r="O51" s="67">
        <f>IF(O47&lt;250001,0,IF(O47&gt;500000,12500,((O47-250000)*0.05)))</f>
        <v>12500</v>
      </c>
    </row>
    <row r="52" spans="1:15">
      <c r="A52" s="128"/>
      <c r="B52" s="107" t="s">
        <v>35</v>
      </c>
      <c r="C52" s="108"/>
      <c r="D52" s="109"/>
      <c r="E52" s="125">
        <v>0.2</v>
      </c>
      <c r="F52" s="106"/>
      <c r="G52" s="106" t="s">
        <v>35</v>
      </c>
      <c r="H52" s="106"/>
      <c r="I52" s="106"/>
      <c r="J52" s="47">
        <v>0.2</v>
      </c>
      <c r="K52" s="107" t="s">
        <v>35</v>
      </c>
      <c r="L52" s="108"/>
      <c r="M52" s="109"/>
      <c r="N52" s="47">
        <v>0.2</v>
      </c>
      <c r="O52" s="67">
        <f>IF(O47&lt;500001,0,IF(O47&gt;1000000,100000,((O47-500000)*0.2)))</f>
        <v>196</v>
      </c>
    </row>
    <row r="53" spans="1:15">
      <c r="A53" s="128"/>
      <c r="B53" s="110" t="s">
        <v>137</v>
      </c>
      <c r="C53" s="111"/>
      <c r="D53" s="112"/>
      <c r="E53" s="125">
        <v>0.3</v>
      </c>
      <c r="F53" s="106"/>
      <c r="G53" s="106" t="s">
        <v>138</v>
      </c>
      <c r="H53" s="106"/>
      <c r="I53" s="106"/>
      <c r="J53" s="47">
        <v>0.3</v>
      </c>
      <c r="K53" s="107" t="s">
        <v>138</v>
      </c>
      <c r="L53" s="108"/>
      <c r="M53" s="109"/>
      <c r="N53" s="47">
        <v>0.3</v>
      </c>
      <c r="O53" s="67">
        <f>IF(O47&lt;1000001,0,((O47-1000000)*0.3))</f>
        <v>0</v>
      </c>
    </row>
    <row r="54" spans="1:15">
      <c r="A54" s="128"/>
      <c r="B54" s="162" t="s">
        <v>110</v>
      </c>
      <c r="C54" s="141"/>
      <c r="D54" s="141"/>
      <c r="E54" s="141"/>
      <c r="F54" s="141"/>
      <c r="G54" s="141"/>
      <c r="H54" s="141"/>
      <c r="I54" s="141"/>
      <c r="J54" s="141"/>
      <c r="K54" s="141"/>
      <c r="L54" s="141"/>
      <c r="M54" s="141"/>
      <c r="N54" s="142"/>
      <c r="O54" s="65">
        <f>O50+O51+O52+O53</f>
        <v>12696</v>
      </c>
    </row>
    <row r="55" spans="1:15">
      <c r="A55" s="128"/>
      <c r="B55" s="122" t="s">
        <v>139</v>
      </c>
      <c r="C55" s="123"/>
      <c r="D55" s="123"/>
      <c r="E55" s="123"/>
      <c r="F55" s="123"/>
      <c r="G55" s="123"/>
      <c r="H55" s="123"/>
      <c r="I55" s="123"/>
      <c r="J55" s="123"/>
      <c r="K55" s="123"/>
      <c r="L55" s="123"/>
      <c r="M55" s="123"/>
      <c r="N55" s="124"/>
      <c r="O55" s="66">
        <f>IF(O47&gt;500000,0,IF(O54&lt;12501,O54,12500))</f>
        <v>0</v>
      </c>
    </row>
    <row r="56" spans="1:15">
      <c r="A56" s="128"/>
      <c r="B56" s="162" t="s">
        <v>108</v>
      </c>
      <c r="C56" s="141"/>
      <c r="D56" s="141"/>
      <c r="E56" s="141"/>
      <c r="F56" s="141"/>
      <c r="G56" s="141"/>
      <c r="H56" s="141"/>
      <c r="I56" s="141"/>
      <c r="J56" s="141"/>
      <c r="K56" s="141"/>
      <c r="L56" s="141"/>
      <c r="M56" s="141"/>
      <c r="N56" s="142"/>
      <c r="O56" s="65">
        <f>O54-O55</f>
        <v>12696</v>
      </c>
    </row>
    <row r="57" spans="1:15">
      <c r="A57" s="128"/>
      <c r="B57" s="138" t="s">
        <v>109</v>
      </c>
      <c r="C57" s="139"/>
      <c r="D57" s="139"/>
      <c r="E57" s="139"/>
      <c r="F57" s="139"/>
      <c r="G57" s="139"/>
      <c r="H57" s="139"/>
      <c r="I57" s="139"/>
      <c r="J57" s="139"/>
      <c r="K57" s="139"/>
      <c r="L57" s="139"/>
      <c r="M57" s="139"/>
      <c r="N57" s="139"/>
      <c r="O57" s="66">
        <f>ROUND(O56*0.04,0)</f>
        <v>508</v>
      </c>
    </row>
    <row r="58" spans="1:15">
      <c r="A58" s="129"/>
      <c r="B58" s="140" t="s">
        <v>140</v>
      </c>
      <c r="C58" s="141"/>
      <c r="D58" s="141"/>
      <c r="E58" s="141"/>
      <c r="F58" s="141"/>
      <c r="G58" s="141"/>
      <c r="H58" s="141"/>
      <c r="I58" s="141"/>
      <c r="J58" s="141"/>
      <c r="K58" s="141"/>
      <c r="L58" s="141"/>
      <c r="M58" s="141"/>
      <c r="N58" s="142"/>
      <c r="O58" s="65">
        <f>O57+O56</f>
        <v>13204</v>
      </c>
    </row>
    <row r="59" spans="1:15">
      <c r="A59" s="49">
        <v>17</v>
      </c>
      <c r="B59" s="103" t="s">
        <v>111</v>
      </c>
      <c r="C59" s="133"/>
      <c r="D59" s="133"/>
      <c r="E59" s="133"/>
      <c r="F59" s="133"/>
      <c r="G59" s="133"/>
      <c r="H59" s="133"/>
      <c r="I59" s="133"/>
      <c r="J59" s="133"/>
      <c r="K59" s="133"/>
      <c r="L59" s="133"/>
      <c r="M59" s="133"/>
      <c r="N59" s="134"/>
      <c r="O59" s="66">
        <f>DEDUCTION!D18</f>
        <v>0</v>
      </c>
    </row>
    <row r="60" spans="1:15">
      <c r="A60" s="49">
        <v>18</v>
      </c>
      <c r="B60" s="130" t="s">
        <v>112</v>
      </c>
      <c r="C60" s="150"/>
      <c r="D60" s="150"/>
      <c r="E60" s="150"/>
      <c r="F60" s="150"/>
      <c r="G60" s="150"/>
      <c r="H60" s="150"/>
      <c r="I60" s="150"/>
      <c r="J60" s="150"/>
      <c r="K60" s="150"/>
      <c r="L60" s="150"/>
      <c r="M60" s="150"/>
      <c r="N60" s="150"/>
      <c r="O60" s="65">
        <f>O58-O59</f>
        <v>13204</v>
      </c>
    </row>
    <row r="61" spans="1:15" ht="54" customHeight="1">
      <c r="A61" s="127">
        <v>19</v>
      </c>
      <c r="B61" s="151" t="s">
        <v>113</v>
      </c>
      <c r="C61" s="151"/>
      <c r="D61" s="152"/>
      <c r="E61" s="144" t="s">
        <v>195</v>
      </c>
      <c r="F61" s="144"/>
      <c r="G61" s="144"/>
      <c r="H61" s="144"/>
      <c r="I61" s="145" t="s">
        <v>196</v>
      </c>
      <c r="J61" s="147"/>
      <c r="K61" s="48" t="s">
        <v>197</v>
      </c>
      <c r="L61" s="145" t="s">
        <v>198</v>
      </c>
      <c r="M61" s="147"/>
      <c r="N61" s="48" t="s">
        <v>114</v>
      </c>
      <c r="O61" s="7" t="s">
        <v>115</v>
      </c>
    </row>
    <row r="62" spans="1:15">
      <c r="A62" s="129"/>
      <c r="B62" s="153"/>
      <c r="C62" s="153"/>
      <c r="D62" s="154"/>
      <c r="E62" s="114">
        <f>PAY!N7+PAY!N8+PAY!N9+PAY!N10+PAY!N11+PAY!N12+PAY!N13</f>
        <v>7000</v>
      </c>
      <c r="F62" s="114"/>
      <c r="G62" s="114"/>
      <c r="H62" s="114"/>
      <c r="I62" s="114">
        <f>PAY!N14+PAY!N15+PAY!N16</f>
        <v>3000</v>
      </c>
      <c r="J62" s="114"/>
      <c r="K62" s="46">
        <f>PAY!N17</f>
        <v>1000</v>
      </c>
      <c r="L62" s="114">
        <f>PAY!N18</f>
        <v>2000</v>
      </c>
      <c r="M62" s="114"/>
      <c r="N62" s="8">
        <f>DEDUCTION!D19+PAY!N19+PAY!N20+PAY!N21+PAY!N22+PAY!N23</f>
        <v>0</v>
      </c>
      <c r="O62" s="68">
        <f>N62+L62+K62+I62+E62</f>
        <v>13000</v>
      </c>
    </row>
    <row r="63" spans="1:15" ht="16.8" thickBot="1">
      <c r="A63" s="148" t="s">
        <v>12</v>
      </c>
      <c r="B63" s="149"/>
      <c r="C63" s="149"/>
      <c r="D63" s="149"/>
      <c r="E63" s="149"/>
      <c r="F63" s="149"/>
      <c r="G63" s="149"/>
      <c r="H63" s="149"/>
      <c r="I63" s="149"/>
      <c r="J63" s="149"/>
      <c r="K63" s="149"/>
      <c r="L63" s="149"/>
      <c r="M63" s="149"/>
      <c r="N63" s="149"/>
      <c r="O63" s="69">
        <f>O60-O62</f>
        <v>204</v>
      </c>
    </row>
    <row r="64" spans="1:15" ht="17.399999999999999">
      <c r="A64" s="9"/>
      <c r="B64" s="10"/>
      <c r="C64" s="10"/>
      <c r="D64" s="10"/>
      <c r="E64" s="10"/>
      <c r="F64" s="10"/>
      <c r="G64" s="10"/>
      <c r="H64" s="10"/>
      <c r="I64" s="10"/>
      <c r="J64" s="10"/>
      <c r="K64" s="10"/>
      <c r="L64" s="10"/>
      <c r="M64" s="10"/>
      <c r="N64" s="10"/>
      <c r="O64" s="11"/>
    </row>
    <row r="67" spans="11:14">
      <c r="K67" s="126" t="str">
        <f>D3</f>
        <v>Laxman Devda</v>
      </c>
      <c r="L67" s="126"/>
      <c r="M67" s="126"/>
      <c r="N67" s="126"/>
    </row>
    <row r="68" spans="11:14">
      <c r="K68" s="126" t="str">
        <f>K3</f>
        <v xml:space="preserve">Madhymik Shikshak </v>
      </c>
      <c r="L68" s="126"/>
      <c r="M68" s="126"/>
      <c r="N68" s="126"/>
    </row>
  </sheetData>
  <sheetProtection password="CC27" sheet="1" objects="1" scenarios="1"/>
  <mergeCells count="117">
    <mergeCell ref="L11:N11"/>
    <mergeCell ref="A18:A33"/>
    <mergeCell ref="B18:O18"/>
    <mergeCell ref="B19:O19"/>
    <mergeCell ref="B14:N14"/>
    <mergeCell ref="B15:N15"/>
    <mergeCell ref="B16:N16"/>
    <mergeCell ref="B17:N17"/>
    <mergeCell ref="C26:F26"/>
    <mergeCell ref="J26:L26"/>
    <mergeCell ref="B29:L29"/>
    <mergeCell ref="J28:L28"/>
    <mergeCell ref="O20:O29"/>
    <mergeCell ref="C22:F22"/>
    <mergeCell ref="J22:L22"/>
    <mergeCell ref="C23:F23"/>
    <mergeCell ref="O11:O13"/>
    <mergeCell ref="C24:F24"/>
    <mergeCell ref="L13:N13"/>
    <mergeCell ref="A11:A13"/>
    <mergeCell ref="B11:I11"/>
    <mergeCell ref="J11:K11"/>
    <mergeCell ref="D13:F13"/>
    <mergeCell ref="D12:F12"/>
    <mergeCell ref="A1:O1"/>
    <mergeCell ref="A2:O2"/>
    <mergeCell ref="B3:C3"/>
    <mergeCell ref="B4:N4"/>
    <mergeCell ref="B5:N5"/>
    <mergeCell ref="B6:N6"/>
    <mergeCell ref="B10:N10"/>
    <mergeCell ref="B7:K7"/>
    <mergeCell ref="L7:N7"/>
    <mergeCell ref="B9:K9"/>
    <mergeCell ref="L9:N9"/>
    <mergeCell ref="D3:I3"/>
    <mergeCell ref="A7:A9"/>
    <mergeCell ref="L8:N8"/>
    <mergeCell ref="B8:K8"/>
    <mergeCell ref="O7:O8"/>
    <mergeCell ref="K3:L3"/>
    <mergeCell ref="N3:O3"/>
    <mergeCell ref="I61:J61"/>
    <mergeCell ref="L61:M61"/>
    <mergeCell ref="B61:D62"/>
    <mergeCell ref="A61:A62"/>
    <mergeCell ref="E62:H62"/>
    <mergeCell ref="I62:J62"/>
    <mergeCell ref="J24:L24"/>
    <mergeCell ref="C25:F25"/>
    <mergeCell ref="J25:L25"/>
    <mergeCell ref="C28:F28"/>
    <mergeCell ref="C27:F27"/>
    <mergeCell ref="J27:L27"/>
    <mergeCell ref="B30:N30"/>
    <mergeCell ref="B54:N54"/>
    <mergeCell ref="B31:N31"/>
    <mergeCell ref="B32:N32"/>
    <mergeCell ref="B33:N33"/>
    <mergeCell ref="B42:N42"/>
    <mergeCell ref="B43:N43"/>
    <mergeCell ref="B45:N45"/>
    <mergeCell ref="B56:N56"/>
    <mergeCell ref="E51:F51"/>
    <mergeCell ref="B46:N46"/>
    <mergeCell ref="B47:N47"/>
    <mergeCell ref="K67:N67"/>
    <mergeCell ref="K68:N68"/>
    <mergeCell ref="A34:A44"/>
    <mergeCell ref="B34:O34"/>
    <mergeCell ref="B35:N35"/>
    <mergeCell ref="B36:N36"/>
    <mergeCell ref="B37:N37"/>
    <mergeCell ref="B38:N38"/>
    <mergeCell ref="B39:N39"/>
    <mergeCell ref="B41:N41"/>
    <mergeCell ref="B44:N44"/>
    <mergeCell ref="B57:N57"/>
    <mergeCell ref="B58:N58"/>
    <mergeCell ref="A48:A58"/>
    <mergeCell ref="B48:O48"/>
    <mergeCell ref="B49:F49"/>
    <mergeCell ref="G49:J49"/>
    <mergeCell ref="K49:N49"/>
    <mergeCell ref="B52:D52"/>
    <mergeCell ref="L62:M62"/>
    <mergeCell ref="A63:N63"/>
    <mergeCell ref="B59:N59"/>
    <mergeCell ref="B60:N60"/>
    <mergeCell ref="E61:H61"/>
    <mergeCell ref="B55:N55"/>
    <mergeCell ref="E53:F53"/>
    <mergeCell ref="G53:I53"/>
    <mergeCell ref="K53:M53"/>
    <mergeCell ref="G51:I51"/>
    <mergeCell ref="B50:D50"/>
    <mergeCell ref="B51:D51"/>
    <mergeCell ref="E52:F52"/>
    <mergeCell ref="G52:I52"/>
    <mergeCell ref="K52:M52"/>
    <mergeCell ref="B40:N40"/>
    <mergeCell ref="E50:F50"/>
    <mergeCell ref="G50:I50"/>
    <mergeCell ref="K50:M50"/>
    <mergeCell ref="B53:D53"/>
    <mergeCell ref="J23:L23"/>
    <mergeCell ref="G12:I12"/>
    <mergeCell ref="J12:K12"/>
    <mergeCell ref="L12:N12"/>
    <mergeCell ref="G13:I13"/>
    <mergeCell ref="J13:K13"/>
    <mergeCell ref="C20:F20"/>
    <mergeCell ref="J20:L20"/>
    <mergeCell ref="J21:L21"/>
    <mergeCell ref="C21:F21"/>
    <mergeCell ref="B12:C13"/>
    <mergeCell ref="K51:M51"/>
  </mergeCells>
  <pageMargins left="0.25" right="0.25"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dimension ref="A1:J34"/>
  <sheetViews>
    <sheetView topLeftCell="A13" workbookViewId="0">
      <selection activeCell="M11" sqref="M11"/>
    </sheetView>
  </sheetViews>
  <sheetFormatPr defaultRowHeight="18"/>
  <cols>
    <col min="9" max="9" width="10" style="20" customWidth="1"/>
  </cols>
  <sheetData>
    <row r="1" spans="1:10">
      <c r="A1" s="21"/>
      <c r="B1" s="21"/>
      <c r="C1" s="21"/>
      <c r="D1" s="21"/>
      <c r="E1" s="21"/>
      <c r="F1" s="21"/>
      <c r="G1" s="21"/>
      <c r="H1" s="21"/>
      <c r="I1" s="22"/>
      <c r="J1" s="21"/>
    </row>
    <row r="2" spans="1:10" ht="23.25" customHeight="1">
      <c r="A2" s="200" t="s">
        <v>172</v>
      </c>
      <c r="B2" s="200"/>
      <c r="C2" s="200"/>
      <c r="D2" s="200"/>
      <c r="E2" s="200"/>
      <c r="F2" s="200"/>
      <c r="G2" s="200"/>
      <c r="H2" s="200"/>
      <c r="I2" s="200"/>
      <c r="J2" s="200"/>
    </row>
    <row r="3" spans="1:10" ht="23.25" customHeight="1">
      <c r="A3" s="200" t="s">
        <v>173</v>
      </c>
      <c r="B3" s="200"/>
      <c r="C3" s="200"/>
      <c r="D3" s="200"/>
      <c r="E3" s="200"/>
      <c r="F3" s="200"/>
      <c r="G3" s="200"/>
      <c r="H3" s="200"/>
      <c r="I3" s="200"/>
      <c r="J3" s="200"/>
    </row>
    <row r="4" spans="1:10" ht="20.399999999999999">
      <c r="A4" s="21"/>
      <c r="B4" s="23"/>
      <c r="C4" s="23"/>
      <c r="D4" s="23"/>
      <c r="E4" s="23"/>
      <c r="F4" s="23"/>
      <c r="G4" s="23"/>
      <c r="H4" s="23"/>
      <c r="I4" s="24"/>
      <c r="J4" s="23"/>
    </row>
    <row r="5" spans="1:10" ht="16.2">
      <c r="A5" s="21"/>
      <c r="B5" s="212" t="s">
        <v>174</v>
      </c>
      <c r="C5" s="206" t="s">
        <v>175</v>
      </c>
      <c r="D5" s="207"/>
      <c r="E5" s="207"/>
      <c r="F5" s="208"/>
      <c r="G5" s="214" t="s">
        <v>185</v>
      </c>
      <c r="H5" s="215"/>
      <c r="I5" s="218">
        <f>PAY!H24</f>
        <v>644304</v>
      </c>
      <c r="J5" s="23"/>
    </row>
    <row r="6" spans="1:10" ht="16.2">
      <c r="A6" s="21"/>
      <c r="B6" s="213"/>
      <c r="C6" s="209"/>
      <c r="D6" s="210"/>
      <c r="E6" s="210"/>
      <c r="F6" s="211"/>
      <c r="G6" s="216"/>
      <c r="H6" s="217"/>
      <c r="I6" s="219"/>
      <c r="J6" s="23"/>
    </row>
    <row r="7" spans="1:10" ht="23.4">
      <c r="A7" s="21"/>
      <c r="B7" s="25">
        <v>1</v>
      </c>
      <c r="C7" s="205" t="s">
        <v>176</v>
      </c>
      <c r="D7" s="205"/>
      <c r="E7" s="205"/>
      <c r="F7" s="205"/>
      <c r="G7" s="202" t="s">
        <v>177</v>
      </c>
      <c r="H7" s="202"/>
      <c r="I7" s="26">
        <v>0</v>
      </c>
      <c r="J7" s="23"/>
    </row>
    <row r="8" spans="1:10" ht="23.4">
      <c r="A8" s="21"/>
      <c r="B8" s="27">
        <v>2</v>
      </c>
      <c r="C8" s="201" t="s">
        <v>178</v>
      </c>
      <c r="D8" s="201"/>
      <c r="E8" s="201"/>
      <c r="F8" s="201"/>
      <c r="G8" s="203">
        <v>0.05</v>
      </c>
      <c r="H8" s="204"/>
      <c r="I8" s="28">
        <f>IF(I5&lt;250001,0,IF(I5&gt;300000,2500,((I5-250000)*0.05)))</f>
        <v>2500</v>
      </c>
      <c r="J8" s="23"/>
    </row>
    <row r="9" spans="1:10" ht="23.4">
      <c r="A9" s="21"/>
      <c r="B9" s="25">
        <v>3</v>
      </c>
      <c r="C9" s="205" t="s">
        <v>179</v>
      </c>
      <c r="D9" s="205"/>
      <c r="E9" s="205"/>
      <c r="F9" s="205"/>
      <c r="G9" s="223">
        <v>0.05</v>
      </c>
      <c r="H9" s="224"/>
      <c r="I9" s="26">
        <f>IF(I5&lt;300001,0,IF(I5&gt;500000,10000,((I5-300000)*0.05)))</f>
        <v>10000</v>
      </c>
      <c r="J9" s="23"/>
    </row>
    <row r="10" spans="1:10" ht="23.4">
      <c r="A10" s="21"/>
      <c r="B10" s="27">
        <v>4</v>
      </c>
      <c r="C10" s="201" t="s">
        <v>180</v>
      </c>
      <c r="D10" s="201"/>
      <c r="E10" s="201"/>
      <c r="F10" s="201"/>
      <c r="G10" s="203">
        <v>0.1</v>
      </c>
      <c r="H10" s="204"/>
      <c r="I10" s="28">
        <f>IF(I5&lt;500001,0,IF(I5&gt;750000,25000,((I5-500000)*0.1)))</f>
        <v>14430.400000000001</v>
      </c>
      <c r="J10" s="23"/>
    </row>
    <row r="11" spans="1:10" ht="23.4">
      <c r="A11" s="21"/>
      <c r="B11" s="25">
        <v>5</v>
      </c>
      <c r="C11" s="205" t="s">
        <v>181</v>
      </c>
      <c r="D11" s="205"/>
      <c r="E11" s="205"/>
      <c r="F11" s="205"/>
      <c r="G11" s="225">
        <v>0.15</v>
      </c>
      <c r="H11" s="226"/>
      <c r="I11" s="26">
        <f>IF(I5&lt;750001,0,IF(I5&gt;1000000,37500,((I5-750000)*0.15)))</f>
        <v>0</v>
      </c>
      <c r="J11" s="23"/>
    </row>
    <row r="12" spans="1:10" ht="23.4">
      <c r="A12" s="21"/>
      <c r="B12" s="27">
        <v>6</v>
      </c>
      <c r="C12" s="201" t="s">
        <v>182</v>
      </c>
      <c r="D12" s="201"/>
      <c r="E12" s="201"/>
      <c r="F12" s="201"/>
      <c r="G12" s="227">
        <v>0.2</v>
      </c>
      <c r="H12" s="228"/>
      <c r="I12" s="28">
        <f>IF(I5&lt;1000001,0,IF(I5&gt;1250000,50000,((I5-1000000)*0.2)))</f>
        <v>0</v>
      </c>
      <c r="J12" s="23"/>
    </row>
    <row r="13" spans="1:10" ht="23.4">
      <c r="A13" s="21"/>
      <c r="B13" s="25">
        <v>7</v>
      </c>
      <c r="C13" s="205" t="s">
        <v>183</v>
      </c>
      <c r="D13" s="205"/>
      <c r="E13" s="205"/>
      <c r="F13" s="205"/>
      <c r="G13" s="225">
        <v>0.25</v>
      </c>
      <c r="H13" s="226"/>
      <c r="I13" s="26">
        <f>IF(I5&lt;1250001,0,IF(I5&gt;1500000,65000,((I5-1250000)*0.25)))</f>
        <v>0</v>
      </c>
      <c r="J13" s="23"/>
    </row>
    <row r="14" spans="1:10" ht="23.4">
      <c r="A14" s="21"/>
      <c r="B14" s="27">
        <v>8</v>
      </c>
      <c r="C14" s="201" t="s">
        <v>184</v>
      </c>
      <c r="D14" s="201"/>
      <c r="E14" s="201"/>
      <c r="F14" s="201"/>
      <c r="G14" s="227">
        <v>0.3</v>
      </c>
      <c r="H14" s="228"/>
      <c r="I14" s="28">
        <f>IF(I5&lt;1500001,0,((I5-1500000)*0.3))</f>
        <v>0</v>
      </c>
      <c r="J14" s="23"/>
    </row>
    <row r="15" spans="1:10" ht="23.4">
      <c r="A15" s="21"/>
      <c r="B15" s="29"/>
      <c r="C15" s="220" t="s">
        <v>186</v>
      </c>
      <c r="D15" s="220"/>
      <c r="E15" s="220"/>
      <c r="F15" s="220"/>
      <c r="G15" s="221"/>
      <c r="H15" s="222"/>
      <c r="I15" s="30">
        <f>I14+I13+I12+I11+I10+I9+I8+I7</f>
        <v>26930.400000000001</v>
      </c>
      <c r="J15" s="23"/>
    </row>
    <row r="16" spans="1:10" ht="20.399999999999999">
      <c r="A16" s="21"/>
      <c r="B16" s="23"/>
      <c r="C16" s="23"/>
      <c r="D16" s="23"/>
      <c r="E16" s="23"/>
      <c r="F16" s="23"/>
      <c r="G16" s="23"/>
      <c r="H16" s="23"/>
      <c r="I16" s="24"/>
      <c r="J16" s="23"/>
    </row>
    <row r="17" spans="1:10" ht="44.25" customHeight="1">
      <c r="A17" s="196" t="s">
        <v>187</v>
      </c>
      <c r="B17" s="197"/>
      <c r="C17" s="197"/>
      <c r="D17" s="197"/>
      <c r="E17" s="197"/>
      <c r="F17" s="197"/>
      <c r="G17" s="197"/>
      <c r="H17" s="197"/>
      <c r="I17" s="197"/>
      <c r="J17" s="197"/>
    </row>
    <row r="18" spans="1:10" ht="48.75" customHeight="1">
      <c r="A18" s="198" t="s">
        <v>190</v>
      </c>
      <c r="B18" s="199"/>
      <c r="C18" s="199"/>
      <c r="D18" s="199"/>
      <c r="E18" s="199"/>
      <c r="F18" s="199"/>
      <c r="G18" s="199"/>
      <c r="H18" s="199"/>
      <c r="I18" s="199"/>
      <c r="J18" s="199"/>
    </row>
    <row r="19" spans="1:10">
      <c r="A19" s="21"/>
      <c r="B19" s="21"/>
      <c r="C19" s="21"/>
      <c r="D19" s="21"/>
      <c r="E19" s="21"/>
      <c r="F19" s="21"/>
      <c r="G19" s="21"/>
      <c r="H19" s="21"/>
      <c r="I19" s="22"/>
      <c r="J19" s="21"/>
    </row>
    <row r="20" spans="1:10">
      <c r="A20" s="21"/>
      <c r="B20" s="21"/>
      <c r="C20" s="21"/>
      <c r="D20" s="21"/>
      <c r="E20" s="21"/>
      <c r="F20" s="21"/>
      <c r="G20" s="21"/>
      <c r="H20" s="21"/>
      <c r="I20" s="22"/>
      <c r="J20" s="21"/>
    </row>
    <row r="21" spans="1:10">
      <c r="A21" s="21"/>
      <c r="B21" s="21"/>
      <c r="C21" s="21"/>
      <c r="D21" s="21"/>
      <c r="E21" s="21"/>
      <c r="F21" s="21"/>
      <c r="G21" s="21"/>
      <c r="H21" s="21"/>
      <c r="I21" s="22"/>
      <c r="J21" s="21"/>
    </row>
    <row r="22" spans="1:10">
      <c r="A22" s="21"/>
      <c r="B22" s="21"/>
      <c r="C22" s="21"/>
      <c r="D22" s="21"/>
      <c r="E22" s="21"/>
      <c r="F22" s="21"/>
      <c r="G22" s="21"/>
      <c r="H22" s="21"/>
      <c r="I22" s="22"/>
      <c r="J22" s="21"/>
    </row>
    <row r="23" spans="1:10">
      <c r="A23" s="21"/>
      <c r="B23" s="21"/>
      <c r="C23" s="21"/>
      <c r="D23" s="21"/>
      <c r="E23" s="21"/>
      <c r="F23" s="21"/>
      <c r="G23" s="21"/>
      <c r="H23" s="21"/>
      <c r="I23" s="22"/>
      <c r="J23" s="21"/>
    </row>
    <row r="24" spans="1:10">
      <c r="A24" s="21"/>
      <c r="B24" s="21"/>
      <c r="C24" s="21"/>
      <c r="D24" s="21"/>
      <c r="E24" s="21"/>
      <c r="F24" s="21"/>
      <c r="G24" s="21"/>
      <c r="H24" s="21"/>
      <c r="I24" s="22"/>
      <c r="J24" s="21"/>
    </row>
    <row r="25" spans="1:10">
      <c r="A25" s="21"/>
      <c r="B25" s="21"/>
      <c r="C25" s="21"/>
      <c r="D25" s="21"/>
      <c r="E25" s="21"/>
      <c r="F25" s="21"/>
      <c r="G25" s="21"/>
      <c r="H25" s="21"/>
      <c r="I25" s="22"/>
      <c r="J25" s="21"/>
    </row>
    <row r="26" spans="1:10">
      <c r="A26" s="21"/>
      <c r="B26" s="21"/>
      <c r="C26" s="21"/>
      <c r="D26" s="21"/>
      <c r="E26" s="21"/>
      <c r="F26" s="21"/>
      <c r="G26" s="21"/>
      <c r="H26" s="21"/>
      <c r="I26" s="22"/>
      <c r="J26" s="21"/>
    </row>
    <row r="27" spans="1:10">
      <c r="A27" s="21"/>
      <c r="B27" s="21"/>
      <c r="C27" s="21"/>
      <c r="D27" s="21"/>
      <c r="E27" s="21"/>
      <c r="F27" s="21"/>
      <c r="G27" s="21"/>
      <c r="H27" s="21"/>
      <c r="I27" s="22"/>
      <c r="J27" s="21"/>
    </row>
    <row r="28" spans="1:10">
      <c r="A28" s="21"/>
      <c r="B28" s="21"/>
      <c r="C28" s="21"/>
      <c r="D28" s="21"/>
      <c r="E28" s="21"/>
      <c r="F28" s="21"/>
      <c r="G28" s="21"/>
      <c r="H28" s="21"/>
      <c r="I28" s="22"/>
      <c r="J28" s="21"/>
    </row>
    <row r="29" spans="1:10">
      <c r="A29" s="21"/>
      <c r="B29" s="21"/>
      <c r="C29" s="21"/>
      <c r="D29" s="21"/>
      <c r="E29" s="21"/>
      <c r="F29" s="21"/>
      <c r="G29" s="21"/>
      <c r="H29" s="21"/>
      <c r="I29" s="22"/>
      <c r="J29" s="21"/>
    </row>
    <row r="30" spans="1:10">
      <c r="A30" s="21"/>
      <c r="B30" s="21"/>
      <c r="C30" s="21"/>
      <c r="D30" s="21"/>
      <c r="E30" s="21"/>
      <c r="F30" s="21"/>
      <c r="G30" s="21"/>
      <c r="H30" s="21"/>
      <c r="I30" s="22"/>
      <c r="J30" s="21"/>
    </row>
    <row r="31" spans="1:10">
      <c r="A31" s="21"/>
      <c r="B31" s="21"/>
      <c r="C31" s="21"/>
      <c r="D31" s="21"/>
      <c r="E31" s="21"/>
      <c r="F31" s="21"/>
      <c r="G31" s="21"/>
      <c r="H31" s="21"/>
      <c r="I31" s="22"/>
      <c r="J31" s="21"/>
    </row>
    <row r="32" spans="1:10">
      <c r="A32" s="21"/>
      <c r="B32" s="21"/>
      <c r="C32" s="21"/>
      <c r="D32" s="21"/>
      <c r="E32" s="21"/>
      <c r="F32" s="21"/>
      <c r="G32" s="21"/>
      <c r="H32" s="21"/>
      <c r="I32" s="22"/>
      <c r="J32" s="21"/>
    </row>
    <row r="33" spans="1:10">
      <c r="A33" s="21"/>
      <c r="B33" s="21"/>
      <c r="C33" s="21"/>
      <c r="D33" s="21"/>
      <c r="E33" s="21"/>
      <c r="F33" s="21"/>
      <c r="G33" s="21"/>
      <c r="H33" s="21"/>
      <c r="I33" s="22"/>
      <c r="J33" s="21"/>
    </row>
    <row r="34" spans="1:10">
      <c r="A34" s="21"/>
      <c r="B34" s="21"/>
      <c r="C34" s="21"/>
      <c r="D34" s="21"/>
      <c r="E34" s="21"/>
      <c r="F34" s="21"/>
      <c r="G34" s="21"/>
      <c r="H34" s="21"/>
      <c r="I34" s="22"/>
      <c r="J34" s="21"/>
    </row>
  </sheetData>
  <sheetProtection password="CC27" sheet="1" objects="1" scenarios="1"/>
  <mergeCells count="26">
    <mergeCell ref="G11:H11"/>
    <mergeCell ref="G12:H12"/>
    <mergeCell ref="G13:H13"/>
    <mergeCell ref="G14:H14"/>
    <mergeCell ref="C9:F9"/>
    <mergeCell ref="C10:F10"/>
    <mergeCell ref="C11:F11"/>
    <mergeCell ref="C12:F12"/>
    <mergeCell ref="C13:F13"/>
    <mergeCell ref="C14:F14"/>
    <mergeCell ref="A17:J17"/>
    <mergeCell ref="A18:J18"/>
    <mergeCell ref="A2:J2"/>
    <mergeCell ref="A3:J3"/>
    <mergeCell ref="C8:F8"/>
    <mergeCell ref="G7:H7"/>
    <mergeCell ref="G8:H8"/>
    <mergeCell ref="C7:F7"/>
    <mergeCell ref="C5:F6"/>
    <mergeCell ref="B5:B6"/>
    <mergeCell ref="G5:H6"/>
    <mergeCell ref="I5:I6"/>
    <mergeCell ref="C15:F15"/>
    <mergeCell ref="G15:H15"/>
    <mergeCell ref="G9:H9"/>
    <mergeCell ref="G10:H10"/>
  </mergeCells>
  <pageMargins left="0.25" right="0.25"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dimension ref="E11"/>
  <sheetViews>
    <sheetView workbookViewId="0">
      <selection activeCell="J18" sqref="J18"/>
    </sheetView>
  </sheetViews>
  <sheetFormatPr defaultRowHeight="14.4"/>
  <sheetData>
    <row r="11" spans="5:5">
      <c r="E11" s="5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PAY</vt:lpstr>
      <vt:lpstr>DEDUCTION</vt:lpstr>
      <vt:lpstr>OLD TAX PLAN </vt:lpstr>
      <vt:lpstr>NEW PLAN </vt: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dc:creator>
  <cp:lastModifiedBy>IND</cp:lastModifiedBy>
  <cp:lastPrinted>2021-01-28T15:14:19Z</cp:lastPrinted>
  <dcterms:created xsi:type="dcterms:W3CDTF">2019-12-01T14:15:22Z</dcterms:created>
  <dcterms:modified xsi:type="dcterms:W3CDTF">2021-01-28T15:14:22Z</dcterms:modified>
</cp:coreProperties>
</file>