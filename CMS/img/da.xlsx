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88" yWindow="108" windowWidth="11412" windowHeight="3144"/>
  </bookViews>
  <sheets>
    <sheet name="Sheet1" sheetId="1" r:id="rId1"/>
    <sheet name="Sheet2" sheetId="2" r:id="rId2"/>
  </sheets>
  <calcPr calcId="124519"/>
</workbook>
</file>

<file path=xl/calcChain.xml><?xml version="1.0" encoding="utf-8"?>
<calcChain xmlns="http://schemas.openxmlformats.org/spreadsheetml/2006/main">
  <c r="C8" i="1"/>
  <c r="O16" i="2"/>
  <c r="B2"/>
  <c r="B10" s="1"/>
  <c r="C4" i="1"/>
  <c r="B11" i="2" l="1"/>
  <c r="C2"/>
  <c r="D2" s="1"/>
  <c r="D10" s="1"/>
  <c r="G2"/>
  <c r="C4"/>
  <c r="M2"/>
  <c r="D4" i="1"/>
  <c r="D4" i="2" l="1"/>
  <c r="C10"/>
  <c r="C5"/>
  <c r="I4"/>
  <c r="I5" s="1"/>
  <c r="I6" s="1"/>
  <c r="I7" s="1"/>
  <c r="I8" s="1"/>
  <c r="I9" s="1"/>
  <c r="H4"/>
  <c r="H5" s="1"/>
  <c r="H6" s="1"/>
  <c r="H7" s="1"/>
  <c r="H8" s="1"/>
  <c r="G10"/>
  <c r="H2"/>
  <c r="I2" s="1"/>
  <c r="I10" s="1"/>
  <c r="N10" s="1"/>
  <c r="D12" i="1" s="1"/>
  <c r="B12" i="2"/>
  <c r="N2"/>
  <c r="I16" l="1"/>
  <c r="H9"/>
  <c r="H10" s="1"/>
  <c r="B13"/>
  <c r="G11"/>
  <c r="L10"/>
  <c r="B12" i="1" s="1"/>
  <c r="D5" i="2"/>
  <c r="N4"/>
  <c r="D6" i="1" s="1"/>
  <c r="M4" i="2"/>
  <c r="C6" i="1" s="1"/>
  <c r="M5" i="2"/>
  <c r="C7" i="1" s="1"/>
  <c r="C6" i="2"/>
  <c r="C11"/>
  <c r="H11" l="1"/>
  <c r="H12" s="1"/>
  <c r="H13" s="1"/>
  <c r="H14" s="1"/>
  <c r="H15" s="1"/>
  <c r="M10"/>
  <c r="C12" i="1" s="1"/>
  <c r="H16" i="2"/>
  <c r="C12"/>
  <c r="M11"/>
  <c r="C13" i="1" s="1"/>
  <c r="M6" i="2"/>
  <c r="C7"/>
  <c r="D6"/>
  <c r="N5"/>
  <c r="D7" i="1" s="1"/>
  <c r="B14" i="2"/>
  <c r="G12"/>
  <c r="L11"/>
  <c r="B13" i="1" s="1"/>
  <c r="B15" i="2" l="1"/>
  <c r="B16" s="1"/>
  <c r="C8"/>
  <c r="C9" s="1"/>
  <c r="M7"/>
  <c r="C9" i="1" s="1"/>
  <c r="G13" i="2"/>
  <c r="L12"/>
  <c r="B14" i="1" s="1"/>
  <c r="D7" i="2"/>
  <c r="N6"/>
  <c r="D8" i="1" s="1"/>
  <c r="M12" i="2"/>
  <c r="C14" i="1" s="1"/>
  <c r="C13" i="2"/>
  <c r="D8" l="1"/>
  <c r="D9" s="1"/>
  <c r="N7"/>
  <c r="D9" i="1" s="1"/>
  <c r="G14" i="2"/>
  <c r="L13"/>
  <c r="B15" i="1" s="1"/>
  <c r="M9" i="2"/>
  <c r="C11" i="1" s="1"/>
  <c r="M8" i="2"/>
  <c r="C10" i="1" s="1"/>
  <c r="M13" i="2"/>
  <c r="C15" i="1" s="1"/>
  <c r="C14" i="2"/>
  <c r="G15" l="1"/>
  <c r="L14"/>
  <c r="B16" i="1" s="1"/>
  <c r="M14" i="2"/>
  <c r="C16" i="1" s="1"/>
  <c r="C15" i="2"/>
  <c r="M15" s="1"/>
  <c r="C17" i="1" s="1"/>
  <c r="N8" i="2"/>
  <c r="D10" i="1" s="1"/>
  <c r="C16" i="2"/>
  <c r="C18" i="1" l="1"/>
  <c r="M16" i="2"/>
  <c r="N9"/>
  <c r="D11" i="1" s="1"/>
  <c r="D18" s="1"/>
  <c r="D16" i="2"/>
  <c r="G16"/>
  <c r="L15"/>
  <c r="N16"/>
  <c r="L16" l="1"/>
  <c r="B17" i="1"/>
  <c r="B18" s="1"/>
  <c r="C20" s="1"/>
  <c r="C22" l="1"/>
  <c r="C23" s="1"/>
  <c r="C21" l="1"/>
</calcChain>
</file>

<file path=xl/sharedStrings.xml><?xml version="1.0" encoding="utf-8"?>
<sst xmlns="http://schemas.openxmlformats.org/spreadsheetml/2006/main" count="66" uniqueCount="22">
  <si>
    <t>Jan</t>
  </si>
  <si>
    <t>Fab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</si>
  <si>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</si>
  <si>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</si>
  <si>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</si>
  <si>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</si>
  <si>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</si>
  <si>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</si>
  <si>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</si>
  <si>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</si>
  <si>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</si>
  <si>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</si>
  <si>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</si>
  <si>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Basic Pay</t>
  </si>
  <si>
    <t>Total</t>
  </si>
  <si>
    <t>Cash Loss</t>
  </si>
  <si>
    <t>NPS</t>
  </si>
  <si>
    <t>Govt.Cont.</t>
  </si>
  <si>
    <t>Total (24 Months)</t>
  </si>
  <si>
    <t xml:space="preserve">TWTA MP </t>
  </si>
  <si>
    <t>महंगाई भत्ता व वार्षिक  वेतन  वृद्धि की हानी</t>
  </si>
  <si>
    <t>बेसिक पे की सफ़ेद सेल मे अपना मूल वेतन लिखें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</si>
</sst>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0" borderId="0" xfId="0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2" fillId="3" borderId="1" xfId="0" applyFont="1" applyFill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0" fillId="4" borderId="1" xfId="0" applyFont="1" applyFill="1" applyBorder="1" applyProtection="1">
      <protection hidden="1"/>
    </xf>
    <xf numFmtId="0" fontId="4" fillId="4" borderId="1" xfId="0" applyFont="1" applyFill="1" applyBorder="1" applyProtection="1">
      <protection hidden="1"/>
    </xf>
    <xf numFmtId="0" fontId="0" fillId="0" borderId="0" xfId="0" applyFont="1" applyProtection="1">
      <protection hidden="1"/>
    </xf>
    <xf numFmtId="0" fontId="1" fillId="3" borderId="1" xfId="0" applyFont="1" applyFill="1" applyBorder="1" applyProtection="1">
      <protection hidden="1"/>
    </xf>
    <xf numFmtId="0" fontId="4" fillId="3" borderId="1" xfId="0" applyFont="1" applyFill="1" applyBorder="1" applyProtection="1">
      <protection hidden="1"/>
    </xf>
    <xf numFmtId="0" fontId="3" fillId="5" borderId="1" xfId="0" applyFont="1" applyFill="1" applyBorder="1" applyProtection="1">
      <protection hidden="1"/>
    </xf>
    <xf numFmtId="0" fontId="3" fillId="0" borderId="0" xfId="0" applyFont="1" applyProtection="1">
      <protection hidden="1"/>
    </xf>
    <xf numFmtId="0" fontId="5" fillId="6" borderId="1" xfId="0" applyFont="1" applyFill="1" applyBorder="1" applyAlignment="1" applyProtection="1">
      <alignment wrapText="1"/>
      <protection hidden="1"/>
    </xf>
    <xf numFmtId="0" fontId="5" fillId="0" borderId="1" xfId="0" applyFont="1" applyBorder="1" applyProtection="1">
      <protection hidden="1"/>
    </xf>
    <xf numFmtId="0" fontId="6" fillId="6" borderId="1" xfId="0" applyFont="1" applyFill="1" applyBorder="1" applyProtection="1">
      <protection hidden="1"/>
    </xf>
    <xf numFmtId="0" fontId="6" fillId="0" borderId="1" xfId="0" applyFont="1" applyBorder="1" applyProtection="1">
      <protection hidden="1"/>
    </xf>
    <xf numFmtId="0" fontId="5" fillId="6" borderId="1" xfId="0" applyFont="1" applyFill="1" applyBorder="1" applyProtection="1">
      <protection hidden="1"/>
    </xf>
    <xf numFmtId="0" fontId="8" fillId="7" borderId="0" xfId="0" applyFont="1" applyFill="1" applyProtection="1">
      <protection hidden="1"/>
    </xf>
    <xf numFmtId="0" fontId="9" fillId="7" borderId="0" xfId="0" applyFont="1" applyFill="1" applyProtection="1">
      <protection hidden="1"/>
    </xf>
    <xf numFmtId="0" fontId="10" fillId="7" borderId="0" xfId="0" applyFont="1" applyFill="1" applyProtection="1">
      <protection hidden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>
      <selection activeCell="F7" sqref="F7"/>
    </sheetView>
  </sheetViews>
  <sheetFormatPr defaultRowHeight="14.4"/>
  <cols>
    <col min="1" max="1" width="10.6640625" style="2" customWidth="1"/>
    <col min="2" max="2" width="17.77734375" style="2" customWidth="1"/>
    <col min="3" max="3" width="10.77734375" style="2" customWidth="1"/>
    <col min="4" max="4" width="12.6640625" style="2" customWidth="1"/>
    <col min="5" max="16384" width="8.88671875" style="2"/>
  </cols>
  <sheetData>
    <row r="1" spans="1:4" ht="25.8">
      <c r="A1" s="1" t="s">
        <v>19</v>
      </c>
      <c r="B1" s="1"/>
      <c r="C1" s="1"/>
      <c r="D1" s="1"/>
    </row>
    <row r="2" spans="1:4" ht="15.6">
      <c r="A2" s="3" t="s">
        <v>20</v>
      </c>
      <c r="B2" s="3"/>
      <c r="C2" s="3"/>
      <c r="D2" s="3"/>
    </row>
    <row r="3" spans="1:4">
      <c r="A3" s="4" t="s">
        <v>21</v>
      </c>
      <c r="B3" s="4"/>
      <c r="C3" s="4"/>
      <c r="D3" s="4"/>
    </row>
    <row r="4" spans="1:4" s="7" customFormat="1" ht="15.6">
      <c r="A4" s="5" t="s">
        <v>13</v>
      </c>
      <c r="B4" s="6">
        <v>48700</v>
      </c>
      <c r="C4" s="5">
        <f>ROUND(B4*1.03,-2)</f>
        <v>50200</v>
      </c>
      <c r="D4" s="5">
        <f>ROUND(C4*1.03,-2)</f>
        <v>51700</v>
      </c>
    </row>
    <row r="5" spans="1:4" s="10" customFormat="1" ht="18">
      <c r="A5" s="8" t="s">
        <v>12</v>
      </c>
      <c r="B5" s="9">
        <v>2019</v>
      </c>
      <c r="C5" s="9">
        <v>2020</v>
      </c>
      <c r="D5" s="9">
        <v>2021</v>
      </c>
    </row>
    <row r="6" spans="1:4" ht="18">
      <c r="A6" s="11" t="s">
        <v>0</v>
      </c>
      <c r="B6" s="12"/>
      <c r="C6" s="12">
        <f>Sheet2!M4</f>
        <v>4383</v>
      </c>
      <c r="D6" s="12">
        <f>Sheet2!N4</f>
        <v>9712</v>
      </c>
    </row>
    <row r="7" spans="1:4" ht="18">
      <c r="A7" s="11" t="s">
        <v>1</v>
      </c>
      <c r="B7" s="12"/>
      <c r="C7" s="12">
        <f>Sheet2!M5</f>
        <v>4383</v>
      </c>
      <c r="D7" s="12">
        <f>Sheet2!N5</f>
        <v>9712</v>
      </c>
    </row>
    <row r="8" spans="1:4" ht="18">
      <c r="A8" s="11" t="s">
        <v>2</v>
      </c>
      <c r="B8" s="12"/>
      <c r="C8" s="12">
        <f>Sheet2!M6</f>
        <v>4383</v>
      </c>
      <c r="D8" s="12">
        <f>Sheet2!N6</f>
        <v>9712</v>
      </c>
    </row>
    <row r="9" spans="1:4" ht="18">
      <c r="A9" s="11" t="s">
        <v>3</v>
      </c>
      <c r="B9" s="12"/>
      <c r="C9" s="12">
        <f>Sheet2!M7</f>
        <v>4383</v>
      </c>
      <c r="D9" s="12">
        <f>Sheet2!N7</f>
        <v>9712</v>
      </c>
    </row>
    <row r="10" spans="1:4" ht="16.8" customHeight="1">
      <c r="A10" s="11" t="s">
        <v>4</v>
      </c>
      <c r="B10" s="12"/>
      <c r="C10" s="12">
        <f>Sheet2!M8</f>
        <v>4383</v>
      </c>
      <c r="D10" s="12">
        <f>Sheet2!N8</f>
        <v>9712</v>
      </c>
    </row>
    <row r="11" spans="1:4" ht="18">
      <c r="A11" s="11" t="s">
        <v>5</v>
      </c>
      <c r="B11" s="12"/>
      <c r="C11" s="12">
        <f>Sheet2!M9</f>
        <v>4383</v>
      </c>
      <c r="D11" s="12">
        <f>Sheet2!N9</f>
        <v>9712</v>
      </c>
    </row>
    <row r="12" spans="1:4" ht="18">
      <c r="A12" s="11" t="s">
        <v>6</v>
      </c>
      <c r="B12" s="12">
        <f>Sheet2!L10</f>
        <v>2435</v>
      </c>
      <c r="C12" s="12">
        <f>Sheet2!M10</f>
        <v>8206</v>
      </c>
      <c r="D12" s="12">
        <f>Sheet2!N10</f>
        <v>11632</v>
      </c>
    </row>
    <row r="13" spans="1:4" ht="18">
      <c r="A13" s="11" t="s">
        <v>7</v>
      </c>
      <c r="B13" s="12">
        <f>Sheet2!L11</f>
        <v>2435</v>
      </c>
      <c r="C13" s="12">
        <f>Sheet2!M11</f>
        <v>8206</v>
      </c>
      <c r="D13" s="12"/>
    </row>
    <row r="14" spans="1:4" ht="18">
      <c r="A14" s="11" t="s">
        <v>8</v>
      </c>
      <c r="B14" s="12">
        <f>Sheet2!L12</f>
        <v>2435</v>
      </c>
      <c r="C14" s="12">
        <f>Sheet2!M12</f>
        <v>8206</v>
      </c>
      <c r="D14" s="12"/>
    </row>
    <row r="15" spans="1:4" ht="18">
      <c r="A15" s="11" t="s">
        <v>9</v>
      </c>
      <c r="B15" s="12">
        <f>Sheet2!L13</f>
        <v>2435</v>
      </c>
      <c r="C15" s="12">
        <f>Sheet2!M13</f>
        <v>8206</v>
      </c>
      <c r="D15" s="12"/>
    </row>
    <row r="16" spans="1:4" ht="18">
      <c r="A16" s="11" t="s">
        <v>10</v>
      </c>
      <c r="B16" s="12">
        <f>Sheet2!L14</f>
        <v>2435</v>
      </c>
      <c r="C16" s="12">
        <f>Sheet2!M14</f>
        <v>8206</v>
      </c>
      <c r="D16" s="12"/>
    </row>
    <row r="17" spans="1:4" ht="18">
      <c r="A17" s="11" t="s">
        <v>11</v>
      </c>
      <c r="B17" s="12">
        <f>Sheet2!L15</f>
        <v>2435</v>
      </c>
      <c r="C17" s="12">
        <f>Sheet2!M15</f>
        <v>8206</v>
      </c>
      <c r="D17" s="12"/>
    </row>
    <row r="18" spans="1:4" s="14" customFormat="1" ht="15.6">
      <c r="A18" s="13" t="s">
        <v>14</v>
      </c>
      <c r="B18" s="13">
        <f>SUM(B6:B17)</f>
        <v>14610</v>
      </c>
      <c r="C18" s="13">
        <f t="shared" ref="C18:D18" si="0">SUM(C6:C17)</f>
        <v>75534</v>
      </c>
      <c r="D18" s="13">
        <f>D11+D10+D9+D8+D7+D6</f>
        <v>58272</v>
      </c>
    </row>
    <row r="20" spans="1:4" ht="36">
      <c r="B20" s="15" t="s">
        <v>18</v>
      </c>
      <c r="C20" s="16">
        <f>B18+C18+D18</f>
        <v>148416</v>
      </c>
    </row>
    <row r="21" spans="1:4" ht="18">
      <c r="B21" s="17" t="s">
        <v>15</v>
      </c>
      <c r="C21" s="18">
        <f>C20-C22</f>
        <v>133574</v>
      </c>
    </row>
    <row r="22" spans="1:4" ht="18">
      <c r="B22" s="19" t="s">
        <v>16</v>
      </c>
      <c r="C22" s="16">
        <f>ROUND(C20/10,0)</f>
        <v>14842</v>
      </c>
    </row>
    <row r="23" spans="1:4" ht="18">
      <c r="B23" s="19" t="s">
        <v>17</v>
      </c>
      <c r="C23" s="16">
        <f>C22</f>
        <v>14842</v>
      </c>
    </row>
  </sheetData>
  <mergeCells count="3">
    <mergeCell ref="A1:D1"/>
    <mergeCell ref="A2:D2"/>
    <mergeCell ref="A3:D3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O16"/>
  <sheetViews>
    <sheetView topLeftCell="A103" workbookViewId="0">
      <selection activeCell="K7" sqref="K7"/>
    </sheetView>
  </sheetViews>
  <sheetFormatPr defaultRowHeight="14.4"/>
  <cols>
    <col min="1" max="16384" width="8.88671875" style="21"/>
  </cols>
  <sheetData>
    <row r="2" spans="1:15" ht="15.6">
      <c r="A2" s="20" t="s">
        <v>13</v>
      </c>
      <c r="B2" s="20">
        <f>Sheet1!B4</f>
        <v>48700</v>
      </c>
      <c r="C2" s="20">
        <f>ROUND(B2*1.03,-2)</f>
        <v>50200</v>
      </c>
      <c r="D2" s="20">
        <f>ROUND(C2*1.03,-2)</f>
        <v>51700</v>
      </c>
      <c r="E2" s="20"/>
      <c r="F2" s="20" t="s">
        <v>13</v>
      </c>
      <c r="G2" s="20">
        <f>B2</f>
        <v>48700</v>
      </c>
      <c r="H2" s="20">
        <f>G2</f>
        <v>48700</v>
      </c>
      <c r="I2" s="20">
        <f>H2</f>
        <v>48700</v>
      </c>
      <c r="J2" s="20"/>
      <c r="K2" s="20" t="s">
        <v>13</v>
      </c>
      <c r="L2" s="20"/>
      <c r="M2" s="20">
        <f>L2</f>
        <v>0</v>
      </c>
      <c r="N2" s="20">
        <f>M2</f>
        <v>0</v>
      </c>
    </row>
    <row r="3" spans="1:15" ht="15.6">
      <c r="A3" s="22" t="s">
        <v>12</v>
      </c>
      <c r="B3" s="22">
        <v>2019</v>
      </c>
      <c r="C3" s="22">
        <v>2020</v>
      </c>
      <c r="D3" s="22">
        <v>2021</v>
      </c>
      <c r="E3" s="22"/>
      <c r="F3" s="22" t="s">
        <v>12</v>
      </c>
      <c r="G3" s="22">
        <v>2019</v>
      </c>
      <c r="H3" s="22">
        <v>2020</v>
      </c>
      <c r="I3" s="22">
        <v>2021</v>
      </c>
      <c r="J3" s="22"/>
      <c r="K3" s="22" t="s">
        <v>12</v>
      </c>
      <c r="L3" s="22">
        <v>2019</v>
      </c>
      <c r="M3" s="22">
        <v>2020</v>
      </c>
      <c r="N3" s="22">
        <v>2021</v>
      </c>
    </row>
    <row r="4" spans="1:15" ht="15.6">
      <c r="A4" s="22" t="s">
        <v>0</v>
      </c>
      <c r="C4" s="21">
        <f>ROUND(B2*1.21,0)</f>
        <v>58927</v>
      </c>
      <c r="D4" s="21">
        <f>ROUND(C2*1.28,0)</f>
        <v>64256</v>
      </c>
      <c r="F4" s="22" t="s">
        <v>0</v>
      </c>
      <c r="H4" s="21">
        <f>ROUND(G2*1.12,0)</f>
        <v>54544</v>
      </c>
      <c r="I4" s="21">
        <f>ROUND(G2*1.12,0)</f>
        <v>54544</v>
      </c>
      <c r="K4" s="22" t="s">
        <v>0</v>
      </c>
      <c r="M4" s="21">
        <f>C4-H4</f>
        <v>4383</v>
      </c>
      <c r="N4" s="21">
        <f>D4-I4</f>
        <v>9712</v>
      </c>
    </row>
    <row r="5" spans="1:15" ht="15.6">
      <c r="A5" s="22" t="s">
        <v>1</v>
      </c>
      <c r="C5" s="21">
        <f>C4</f>
        <v>58927</v>
      </c>
      <c r="D5" s="21">
        <f>D4</f>
        <v>64256</v>
      </c>
      <c r="F5" s="22" t="s">
        <v>1</v>
      </c>
      <c r="H5" s="21">
        <f>H4</f>
        <v>54544</v>
      </c>
      <c r="I5" s="21">
        <f>I4</f>
        <v>54544</v>
      </c>
      <c r="K5" s="22" t="s">
        <v>1</v>
      </c>
      <c r="M5" s="21">
        <f t="shared" ref="M5:M15" si="0">C5-H5</f>
        <v>4383</v>
      </c>
      <c r="N5" s="21">
        <f t="shared" ref="N5:N10" si="1">D5-I5</f>
        <v>9712</v>
      </c>
    </row>
    <row r="6" spans="1:15" ht="15.6">
      <c r="A6" s="22" t="s">
        <v>2</v>
      </c>
      <c r="C6" s="21">
        <f t="shared" ref="C6:C8" si="2">C5</f>
        <v>58927</v>
      </c>
      <c r="D6" s="21">
        <f t="shared" ref="D6:D8" si="3">D5</f>
        <v>64256</v>
      </c>
      <c r="F6" s="22" t="s">
        <v>2</v>
      </c>
      <c r="H6" s="21">
        <f t="shared" ref="H6:H15" si="4">H5</f>
        <v>54544</v>
      </c>
      <c r="I6" s="21">
        <f t="shared" ref="I6:I8" si="5">I5</f>
        <v>54544</v>
      </c>
      <c r="K6" s="22" t="s">
        <v>2</v>
      </c>
      <c r="M6" s="21">
        <f t="shared" si="0"/>
        <v>4383</v>
      </c>
      <c r="N6" s="21">
        <f t="shared" si="1"/>
        <v>9712</v>
      </c>
    </row>
    <row r="7" spans="1:15" ht="15.6">
      <c r="A7" s="22" t="s">
        <v>3</v>
      </c>
      <c r="C7" s="21">
        <f t="shared" si="2"/>
        <v>58927</v>
      </c>
      <c r="D7" s="21">
        <f t="shared" si="3"/>
        <v>64256</v>
      </c>
      <c r="F7" s="22" t="s">
        <v>3</v>
      </c>
      <c r="H7" s="21">
        <f t="shared" si="4"/>
        <v>54544</v>
      </c>
      <c r="I7" s="21">
        <f t="shared" si="5"/>
        <v>54544</v>
      </c>
      <c r="K7" s="22" t="s">
        <v>3</v>
      </c>
      <c r="M7" s="21">
        <f t="shared" si="0"/>
        <v>4383</v>
      </c>
      <c r="N7" s="21">
        <f t="shared" si="1"/>
        <v>9712</v>
      </c>
    </row>
    <row r="8" spans="1:15" ht="15.6">
      <c r="A8" s="22" t="s">
        <v>4</v>
      </c>
      <c r="C8" s="21">
        <f t="shared" si="2"/>
        <v>58927</v>
      </c>
      <c r="D8" s="21">
        <f t="shared" si="3"/>
        <v>64256</v>
      </c>
      <c r="F8" s="22" t="s">
        <v>4</v>
      </c>
      <c r="H8" s="21">
        <f t="shared" si="4"/>
        <v>54544</v>
      </c>
      <c r="I8" s="21">
        <f t="shared" si="5"/>
        <v>54544</v>
      </c>
      <c r="K8" s="22" t="s">
        <v>4</v>
      </c>
      <c r="M8" s="21">
        <f t="shared" si="0"/>
        <v>4383</v>
      </c>
      <c r="N8" s="21">
        <f t="shared" si="1"/>
        <v>9712</v>
      </c>
    </row>
    <row r="9" spans="1:15" ht="15.6">
      <c r="A9" s="22" t="s">
        <v>5</v>
      </c>
      <c r="C9" s="21">
        <f>C8</f>
        <v>58927</v>
      </c>
      <c r="D9" s="21">
        <f>D8</f>
        <v>64256</v>
      </c>
      <c r="F9" s="22" t="s">
        <v>5</v>
      </c>
      <c r="H9" s="21">
        <f>H8</f>
        <v>54544</v>
      </c>
      <c r="I9" s="21">
        <f>I8</f>
        <v>54544</v>
      </c>
      <c r="K9" s="22" t="s">
        <v>5</v>
      </c>
      <c r="M9" s="21">
        <f t="shared" si="0"/>
        <v>4383</v>
      </c>
      <c r="N9" s="21">
        <f t="shared" si="1"/>
        <v>9712</v>
      </c>
    </row>
    <row r="10" spans="1:15" ht="15.6">
      <c r="A10" s="22" t="s">
        <v>6</v>
      </c>
      <c r="B10" s="21">
        <f>ROUND(B2*1.17,0)</f>
        <v>56979</v>
      </c>
      <c r="C10" s="21">
        <f>ROUND(C2*1.25,0)</f>
        <v>62750</v>
      </c>
      <c r="D10" s="21">
        <f>ROUND(D2*1.28,0)</f>
        <v>66176</v>
      </c>
      <c r="F10" s="22" t="s">
        <v>6</v>
      </c>
      <c r="G10" s="21">
        <f>ROUND(G2*1.12,0)</f>
        <v>54544</v>
      </c>
      <c r="H10" s="21">
        <f t="shared" si="4"/>
        <v>54544</v>
      </c>
      <c r="I10" s="21">
        <f>ROUND(I2*1.12,0)</f>
        <v>54544</v>
      </c>
      <c r="K10" s="22" t="s">
        <v>6</v>
      </c>
      <c r="L10" s="21">
        <f>B10-G10</f>
        <v>2435</v>
      </c>
      <c r="M10" s="21">
        <f t="shared" si="0"/>
        <v>8206</v>
      </c>
      <c r="N10" s="21">
        <f t="shared" si="1"/>
        <v>11632</v>
      </c>
    </row>
    <row r="11" spans="1:15" ht="15.6">
      <c r="A11" s="22" t="s">
        <v>7</v>
      </c>
      <c r="B11" s="21">
        <f>B10</f>
        <v>56979</v>
      </c>
      <c r="C11" s="21">
        <f>C10</f>
        <v>62750</v>
      </c>
      <c r="F11" s="22" t="s">
        <v>7</v>
      </c>
      <c r="G11" s="21">
        <f>G10</f>
        <v>54544</v>
      </c>
      <c r="H11" s="21">
        <f t="shared" si="4"/>
        <v>54544</v>
      </c>
      <c r="K11" s="22" t="s">
        <v>7</v>
      </c>
      <c r="L11" s="21">
        <f t="shared" ref="L11:L15" si="6">B11-G11</f>
        <v>2435</v>
      </c>
      <c r="M11" s="21">
        <f t="shared" si="0"/>
        <v>8206</v>
      </c>
    </row>
    <row r="12" spans="1:15" ht="15.6">
      <c r="A12" s="22" t="s">
        <v>8</v>
      </c>
      <c r="B12" s="21">
        <f t="shared" ref="B12:B15" si="7">B11</f>
        <v>56979</v>
      </c>
      <c r="C12" s="21">
        <f t="shared" ref="C12:C15" si="8">C11</f>
        <v>62750</v>
      </c>
      <c r="F12" s="22" t="s">
        <v>8</v>
      </c>
      <c r="G12" s="21">
        <f t="shared" ref="G12:G15" si="9">G11</f>
        <v>54544</v>
      </c>
      <c r="H12" s="21">
        <f t="shared" si="4"/>
        <v>54544</v>
      </c>
      <c r="K12" s="22" t="s">
        <v>8</v>
      </c>
      <c r="L12" s="21">
        <f t="shared" si="6"/>
        <v>2435</v>
      </c>
      <c r="M12" s="21">
        <f t="shared" si="0"/>
        <v>8206</v>
      </c>
    </row>
    <row r="13" spans="1:15" ht="15.6">
      <c r="A13" s="22" t="s">
        <v>9</v>
      </c>
      <c r="B13" s="21">
        <f t="shared" si="7"/>
        <v>56979</v>
      </c>
      <c r="C13" s="21">
        <f t="shared" si="8"/>
        <v>62750</v>
      </c>
      <c r="F13" s="22" t="s">
        <v>9</v>
      </c>
      <c r="G13" s="21">
        <f t="shared" si="9"/>
        <v>54544</v>
      </c>
      <c r="H13" s="21">
        <f t="shared" si="4"/>
        <v>54544</v>
      </c>
      <c r="K13" s="22" t="s">
        <v>9</v>
      </c>
      <c r="L13" s="21">
        <f t="shared" si="6"/>
        <v>2435</v>
      </c>
      <c r="M13" s="21">
        <f t="shared" si="0"/>
        <v>8206</v>
      </c>
    </row>
    <row r="14" spans="1:15" ht="15.6">
      <c r="A14" s="22" t="s">
        <v>10</v>
      </c>
      <c r="B14" s="21">
        <f t="shared" si="7"/>
        <v>56979</v>
      </c>
      <c r="C14" s="21">
        <f t="shared" si="8"/>
        <v>62750</v>
      </c>
      <c r="F14" s="22" t="s">
        <v>10</v>
      </c>
      <c r="G14" s="21">
        <f t="shared" si="9"/>
        <v>54544</v>
      </c>
      <c r="H14" s="21">
        <f t="shared" si="4"/>
        <v>54544</v>
      </c>
      <c r="K14" s="22" t="s">
        <v>10</v>
      </c>
      <c r="L14" s="21">
        <f t="shared" si="6"/>
        <v>2435</v>
      </c>
      <c r="M14" s="21">
        <f t="shared" si="0"/>
        <v>8206</v>
      </c>
    </row>
    <row r="15" spans="1:15" ht="15.6">
      <c r="A15" s="22" t="s">
        <v>11</v>
      </c>
      <c r="B15" s="21">
        <f t="shared" si="7"/>
        <v>56979</v>
      </c>
      <c r="C15" s="21">
        <f t="shared" si="8"/>
        <v>62750</v>
      </c>
      <c r="F15" s="22" t="s">
        <v>11</v>
      </c>
      <c r="G15" s="21">
        <f t="shared" si="9"/>
        <v>54544</v>
      </c>
      <c r="H15" s="21">
        <f t="shared" si="4"/>
        <v>54544</v>
      </c>
      <c r="K15" s="22" t="s">
        <v>11</v>
      </c>
      <c r="L15" s="21">
        <f t="shared" si="6"/>
        <v>2435</v>
      </c>
      <c r="M15" s="21">
        <f t="shared" si="0"/>
        <v>8206</v>
      </c>
    </row>
    <row r="16" spans="1:15" ht="15.6">
      <c r="A16" s="20" t="s">
        <v>14</v>
      </c>
      <c r="B16" s="20">
        <f>SUM(B4:B15)</f>
        <v>341874</v>
      </c>
      <c r="C16" s="20">
        <f t="shared" ref="C16:D16" si="10">SUM(C4:C15)</f>
        <v>730062</v>
      </c>
      <c r="D16" s="20">
        <f t="shared" si="10"/>
        <v>451712</v>
      </c>
      <c r="E16" s="20"/>
      <c r="F16" s="20" t="s">
        <v>14</v>
      </c>
      <c r="G16" s="20">
        <f>SUM(G4:G15)</f>
        <v>327264</v>
      </c>
      <c r="H16" s="20">
        <f t="shared" ref="H16:I16" si="11">SUM(H4:H15)</f>
        <v>654528</v>
      </c>
      <c r="I16" s="20">
        <f t="shared" si="11"/>
        <v>381808</v>
      </c>
      <c r="J16" s="20"/>
      <c r="L16" s="20">
        <f t="shared" ref="L16:O16" si="12">SUM(L4:L15)</f>
        <v>14610</v>
      </c>
      <c r="M16" s="20">
        <f t="shared" si="12"/>
        <v>75534</v>
      </c>
      <c r="N16" s="20">
        <f t="shared" si="12"/>
        <v>69904</v>
      </c>
      <c r="O16" s="20">
        <f t="shared" si="12"/>
        <v>0</v>
      </c>
    </row>
  </sheetData>
  <sheetProtection password="CC27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</dc:creator>
  <cp:lastModifiedBy>IND</cp:lastModifiedBy>
  <dcterms:created xsi:type="dcterms:W3CDTF">2021-06-06T09:31:48Z</dcterms:created>
  <dcterms:modified xsi:type="dcterms:W3CDTF">2021-06-08T15:53:14Z</dcterms:modified>
</cp:coreProperties>
</file>