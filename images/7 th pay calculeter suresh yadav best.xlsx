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9440" windowHeight="7935"/>
  </bookViews>
  <sheets>
    <sheet name="Sheet5" sheetId="11" r:id="rId1"/>
  </sheets>
  <calcPr calcId="124519"/>
</workbook>
</file>

<file path=xl/calcChain.xml><?xml version="1.0" encoding="utf-8"?>
<calcChain xmlns="http://schemas.openxmlformats.org/spreadsheetml/2006/main">
  <c r="D12" i="11"/>
  <c r="D8"/>
  <c r="D20"/>
  <c r="D19"/>
  <c r="I15"/>
  <c r="D15"/>
  <c r="N15"/>
  <c r="N20"/>
  <c r="N19"/>
  <c r="I20"/>
  <c r="I19"/>
  <c r="N8"/>
  <c r="N14" s="1"/>
  <c r="I8"/>
  <c r="I14" s="1"/>
  <c r="D14"/>
  <c r="N9" l="1"/>
  <c r="N10" s="1"/>
  <c r="N11" s="1"/>
  <c r="N12" s="1"/>
  <c r="N13" s="1"/>
  <c r="N17" s="1"/>
  <c r="I9"/>
  <c r="I10" s="1"/>
  <c r="I11" s="1"/>
  <c r="I12" s="1"/>
  <c r="I13" s="1"/>
  <c r="I17" s="1"/>
  <c r="D9"/>
  <c r="D10" s="1"/>
  <c r="D11" s="1"/>
  <c r="I16" l="1"/>
  <c r="I21" s="1"/>
  <c r="D13"/>
  <c r="D17" s="1"/>
  <c r="N16"/>
  <c r="N21" s="1"/>
  <c r="D16" l="1"/>
  <c r="D21" s="1"/>
</calcChain>
</file>

<file path=xl/sharedStrings.xml><?xml version="1.0" encoding="utf-8"?>
<sst xmlns="http://schemas.openxmlformats.org/spreadsheetml/2006/main" count="83" uniqueCount="36">
  <si>
    <t xml:space="preserve">मूल वेतन </t>
  </si>
  <si>
    <t>ग्रेड पे</t>
  </si>
  <si>
    <t>योग</t>
  </si>
  <si>
    <t>महंगाई</t>
  </si>
  <si>
    <t>गुणाक</t>
  </si>
  <si>
    <t>कटौती</t>
  </si>
  <si>
    <t>NPS</t>
  </si>
  <si>
    <t>GIS</t>
  </si>
  <si>
    <t xml:space="preserve">गृह भाड़ा </t>
  </si>
  <si>
    <t>NET वेतन</t>
  </si>
  <si>
    <t>पद</t>
  </si>
  <si>
    <t xml:space="preserve">6 टा वेतन </t>
  </si>
  <si>
    <t xml:space="preserve">   1 जुलाई 2018</t>
  </si>
  <si>
    <t xml:space="preserve">  7  वाँ वेतन   </t>
  </si>
  <si>
    <t xml:space="preserve"> 1 जुलाई 2018</t>
  </si>
  <si>
    <t>उच्च माध्यमिक शिक्षक</t>
  </si>
  <si>
    <t xml:space="preserve">प्राथमिक शिक्षक </t>
  </si>
  <si>
    <t xml:space="preserve"> माध्यमिक शिक्षक </t>
  </si>
  <si>
    <t>WWW.TWTAMP.IN</t>
  </si>
  <si>
    <t>ट्रायबल वेलफ़ेयर टीचर्स एसोसिएशन म॰प्र॰</t>
  </si>
  <si>
    <t>वृत्तीकर</t>
  </si>
  <si>
    <t>आयकर</t>
  </si>
  <si>
    <t>विकलांग वा॰ भत्ता</t>
  </si>
  <si>
    <t>गृह भाड़ा भत्ता</t>
  </si>
  <si>
    <t xml:space="preserve">गृह भाड़ा भत्ता 10 ,7,5,4 एवं 3 प्रतिशत की दर से लागू है वह लिखें </t>
  </si>
  <si>
    <t>सफ़ेद सेल मे आंकड़े बदले जा सकते हैं</t>
  </si>
  <si>
    <t xml:space="preserve">1 OCT /NOV 2019 को वेतन </t>
  </si>
  <si>
    <t>प्रांतध्यक्ष श्री डी के सिंगौर के मार्गदर्शन मे 9425483556</t>
  </si>
  <si>
    <t>प्रदेश महासचिव सुरेश यादव द्वारा निर्मित 9926809650</t>
  </si>
  <si>
    <t>1 जुलाई 18 को जिस पद  व पर कार्यरत है उसी शीट का उपयोग करे</t>
  </si>
  <si>
    <t xml:space="preserve">1 OCT /NOV 2019 को  वेतन </t>
  </si>
  <si>
    <t xml:space="preserve">कृपया % के चिन्ह का प्रयोग न करें </t>
  </si>
  <si>
    <t xml:space="preserve">महंगाई भत्ता 12 प्रतिशत की दर से प्रचलित है, वृद्धि संभव </t>
  </si>
  <si>
    <t xml:space="preserve">कृपया कॉल न करें सिर्फ वाट्स पर संपर्क करें </t>
  </si>
  <si>
    <t xml:space="preserve">1 जुलाई 2018 के बाद क्रमोन्नति प्राप्त करने पर गणना नहीं हो सकेगी </t>
  </si>
  <si>
    <t xml:space="preserve">किसी त्रुटि ,असुविधा एवं सुझाव के लिए नंबरों पर संपर्क करें </t>
  </si>
</sst>
</file>

<file path=xl/styles.xml><?xml version="1.0" encoding="utf-8"?>
<styleSheet xmlns="http://schemas.openxmlformats.org/spreadsheetml/2006/main">
  <numFmts count="1">
    <numFmt numFmtId="164" formatCode="[$-4000439]0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Aparajita"/>
      <family val="2"/>
    </font>
    <font>
      <sz val="16"/>
      <color theme="1"/>
      <name val="Aparajita"/>
      <family val="2"/>
    </font>
    <font>
      <sz val="12"/>
      <color theme="1"/>
      <name val="Aparajita"/>
      <family val="2"/>
    </font>
    <font>
      <sz val="14"/>
      <color rgb="FFFF0000"/>
      <name val="Calibri"/>
      <family val="2"/>
      <scheme val="minor"/>
    </font>
    <font>
      <u/>
      <sz val="14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2" borderId="0" xfId="0" applyFont="1" applyFill="1" applyProtection="1">
      <protection locked="0"/>
    </xf>
    <xf numFmtId="0" fontId="3" fillId="0" borderId="0" xfId="0" applyFont="1" applyProtection="1">
      <protection locked="0"/>
    </xf>
    <xf numFmtId="0" fontId="2" fillId="5" borderId="0" xfId="0" applyFont="1" applyFill="1" applyProtection="1">
      <protection locked="0"/>
    </xf>
    <xf numFmtId="0" fontId="2" fillId="0" borderId="0" xfId="0" applyFont="1" applyProtection="1">
      <protection locked="0"/>
    </xf>
    <xf numFmtId="0" fontId="2" fillId="2" borderId="0" xfId="0" applyFont="1" applyFill="1" applyAlignment="1" applyProtection="1">
      <protection locked="0"/>
    </xf>
    <xf numFmtId="0" fontId="0" fillId="2" borderId="0" xfId="0" applyFill="1" applyAlignment="1" applyProtection="1">
      <protection locked="0"/>
    </xf>
    <xf numFmtId="0" fontId="0" fillId="0" borderId="0" xfId="0" applyProtection="1">
      <protection locked="0"/>
    </xf>
    <xf numFmtId="0" fontId="2" fillId="5" borderId="0" xfId="0" applyFont="1" applyFill="1" applyBorder="1" applyAlignment="1" applyProtection="1">
      <protection locked="0"/>
    </xf>
    <xf numFmtId="0" fontId="0" fillId="5" borderId="0" xfId="0" applyFill="1" applyAlignment="1" applyProtection="1"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right"/>
      <protection locked="0"/>
    </xf>
    <xf numFmtId="164" fontId="5" fillId="0" borderId="1" xfId="0" applyNumberFormat="1" applyFont="1" applyFill="1" applyBorder="1" applyAlignment="1" applyProtection="1">
      <alignment horizontal="right"/>
      <protection locked="0"/>
    </xf>
    <xf numFmtId="0" fontId="5" fillId="3" borderId="1" xfId="0" applyFont="1" applyFill="1" applyBorder="1" applyAlignment="1" applyProtection="1">
      <alignment vertical="center"/>
      <protection locked="0"/>
    </xf>
    <xf numFmtId="0" fontId="5" fillId="3" borderId="1" xfId="0" applyFont="1" applyFill="1" applyBorder="1" applyProtection="1">
      <protection locked="0"/>
    </xf>
    <xf numFmtId="0" fontId="5" fillId="4" borderId="1" xfId="0" applyFont="1" applyFill="1" applyBorder="1" applyAlignment="1" applyProtection="1">
      <alignment vertical="center"/>
      <protection locked="0"/>
    </xf>
    <xf numFmtId="0" fontId="5" fillId="4" borderId="1" xfId="0" applyFont="1" applyFill="1" applyBorder="1" applyAlignment="1" applyProtection="1">
      <alignment horizontal="left" vertical="center"/>
      <protection locked="0"/>
    </xf>
    <xf numFmtId="0" fontId="5" fillId="4" borderId="0" xfId="0" applyFont="1" applyFill="1" applyProtection="1">
      <protection locked="0"/>
    </xf>
    <xf numFmtId="0" fontId="5" fillId="4" borderId="1" xfId="0" applyFont="1" applyFill="1" applyBorder="1" applyAlignment="1" applyProtection="1">
      <alignment horizontal="left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left" vertical="center" wrapText="1"/>
      <protection locked="0"/>
    </xf>
    <xf numFmtId="0" fontId="5" fillId="0" borderId="5" xfId="0" applyFont="1" applyFill="1" applyBorder="1" applyAlignment="1" applyProtection="1">
      <alignment horizontal="center" vertical="center"/>
      <protection locked="0"/>
    </xf>
    <xf numFmtId="0" fontId="5" fillId="0" borderId="5" xfId="0" applyFont="1" applyFill="1" applyBorder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right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center" vertical="center"/>
      <protection locked="0"/>
    </xf>
    <xf numFmtId="0" fontId="5" fillId="4" borderId="2" xfId="0" applyFont="1" applyFill="1" applyBorder="1" applyAlignment="1" applyProtection="1">
      <alignment horizontal="center" vertical="center"/>
      <protection locked="0"/>
    </xf>
    <xf numFmtId="0" fontId="5" fillId="4" borderId="3" xfId="0" applyFont="1" applyFill="1" applyBorder="1" applyAlignment="1" applyProtection="1">
      <alignment horizontal="center" vertical="center"/>
      <protection locked="0"/>
    </xf>
    <xf numFmtId="0" fontId="5" fillId="4" borderId="7" xfId="0" applyFont="1" applyFill="1" applyBorder="1" applyAlignment="1" applyProtection="1">
      <alignment horizontal="center" vertical="center"/>
      <protection locked="0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0" fontId="5" fillId="4" borderId="7" xfId="0" applyFont="1" applyFill="1" applyBorder="1" applyAlignment="1" applyProtection="1">
      <alignment horizontal="center" vertical="center" wrapText="1"/>
      <protection locked="0"/>
    </xf>
    <xf numFmtId="0" fontId="5" fillId="4" borderId="3" xfId="0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 applyProtection="1">
      <alignment horizontal="center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/>
      <protection locked="0"/>
    </xf>
    <xf numFmtId="0" fontId="5" fillId="3" borderId="5" xfId="0" applyFont="1" applyFill="1" applyBorder="1" applyAlignment="1" applyProtection="1">
      <alignment horizontal="center"/>
      <protection locked="0"/>
    </xf>
    <xf numFmtId="0" fontId="5" fillId="4" borderId="4" xfId="0" applyFont="1" applyFill="1" applyBorder="1" applyAlignment="1" applyProtection="1">
      <alignment horizontal="center"/>
      <protection locked="0"/>
    </xf>
    <xf numFmtId="0" fontId="5" fillId="4" borderId="5" xfId="0" applyFont="1" applyFill="1" applyBorder="1" applyAlignment="1" applyProtection="1">
      <alignment horizontal="center"/>
      <protection locked="0"/>
    </xf>
    <xf numFmtId="0" fontId="8" fillId="2" borderId="3" xfId="0" applyFont="1" applyFill="1" applyBorder="1" applyAlignment="1" applyProtection="1">
      <alignment horizontal="center" vertical="center"/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5" fillId="0" borderId="1" xfId="0" applyFont="1" applyFill="1" applyBorder="1" applyAlignment="1" applyProtection="1">
      <alignment horizontal="center" vertical="center"/>
      <protection hidden="1"/>
    </xf>
    <xf numFmtId="0" fontId="9" fillId="2" borderId="0" xfId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/>
      <protection hidden="1"/>
    </xf>
    <xf numFmtId="0" fontId="6" fillId="5" borderId="0" xfId="0" applyFont="1" applyFill="1" applyAlignment="1" applyProtection="1">
      <alignment horizontal="center"/>
      <protection hidden="1"/>
    </xf>
    <xf numFmtId="0" fontId="5" fillId="2" borderId="0" xfId="0" applyFont="1" applyFill="1" applyAlignment="1" applyProtection="1">
      <alignment horizontal="left"/>
      <protection hidden="1"/>
    </xf>
    <xf numFmtId="0" fontId="5" fillId="5" borderId="0" xfId="0" applyFont="1" applyFill="1" applyAlignment="1" applyProtection="1">
      <alignment horizontal="left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5" fillId="2" borderId="0" xfId="0" applyFont="1" applyFill="1" applyAlignment="1" applyProtection="1">
      <alignment horizontal="center"/>
      <protection hidden="1"/>
    </xf>
    <xf numFmtId="0" fontId="5" fillId="5" borderId="0" xfId="0" applyFont="1" applyFill="1" applyAlignment="1" applyProtection="1">
      <alignment horizontal="center"/>
      <protection hidden="1"/>
    </xf>
    <xf numFmtId="0" fontId="7" fillId="5" borderId="0" xfId="0" applyFont="1" applyFill="1" applyAlignment="1" applyProtection="1">
      <alignment horizontal="center"/>
      <protection hidden="1"/>
    </xf>
    <xf numFmtId="0" fontId="5" fillId="5" borderId="6" xfId="0" applyFont="1" applyFill="1" applyBorder="1" applyAlignment="1" applyProtection="1">
      <alignment horizontal="center"/>
      <protection hidden="1"/>
    </xf>
    <xf numFmtId="0" fontId="5" fillId="3" borderId="1" xfId="0" applyFont="1" applyFill="1" applyBorder="1" applyAlignment="1" applyProtection="1">
      <alignment horizontal="right"/>
      <protection hidden="1"/>
    </xf>
    <xf numFmtId="0" fontId="5" fillId="4" borderId="1" xfId="0" applyFont="1" applyFill="1" applyBorder="1" applyAlignment="1" applyProtection="1">
      <alignment horizontal="right"/>
      <protection hidden="1"/>
    </xf>
    <xf numFmtId="0" fontId="5" fillId="4" borderId="4" xfId="0" applyFont="1" applyFill="1" applyBorder="1" applyAlignment="1" applyProtection="1">
      <alignment horizontal="center" vertical="center"/>
      <protection hidden="1"/>
    </xf>
    <xf numFmtId="0" fontId="5" fillId="4" borderId="5" xfId="0" applyFont="1" applyFill="1" applyBorder="1" applyAlignment="1" applyProtection="1">
      <alignment horizontal="center" vertical="center"/>
      <protection hidden="1"/>
    </xf>
    <xf numFmtId="0" fontId="5" fillId="4" borderId="1" xfId="0" applyFont="1" applyFill="1" applyBorder="1" applyAlignment="1" applyProtection="1">
      <alignment horizontal="center"/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wtamp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tabSelected="1" topLeftCell="A10" workbookViewId="0">
      <selection activeCell="E24" sqref="E24"/>
    </sheetView>
  </sheetViews>
  <sheetFormatPr defaultRowHeight="15"/>
  <cols>
    <col min="1" max="1" width="11.28515625" style="7" customWidth="1"/>
    <col min="2" max="2" width="18.28515625" style="7" customWidth="1"/>
    <col min="3" max="3" width="14.28515625" style="7" customWidth="1"/>
    <col min="4" max="4" width="15.28515625" style="29" customWidth="1"/>
    <col min="5" max="5" width="5.28515625" style="7" customWidth="1"/>
    <col min="6" max="6" width="12.85546875" style="7" customWidth="1"/>
    <col min="7" max="7" width="17.85546875" style="7" customWidth="1"/>
    <col min="8" max="8" width="14.42578125" style="7" customWidth="1"/>
    <col min="9" max="9" width="15.28515625" style="7" customWidth="1"/>
    <col min="10" max="10" width="5.42578125" style="7" customWidth="1"/>
    <col min="11" max="11" width="13.42578125" style="7" customWidth="1"/>
    <col min="12" max="12" width="15.5703125" style="7" customWidth="1"/>
    <col min="13" max="13" width="15" style="7" customWidth="1"/>
    <col min="14" max="14" width="13" style="7" customWidth="1"/>
    <col min="15" max="16384" width="9.140625" style="7"/>
  </cols>
  <sheetData>
    <row r="1" spans="1:14" s="2" customFormat="1" ht="22.5">
      <c r="A1" s="50" t="s">
        <v>18</v>
      </c>
      <c r="B1" s="51"/>
      <c r="C1" s="51"/>
      <c r="D1" s="51"/>
      <c r="E1" s="1"/>
      <c r="F1" s="58" t="s">
        <v>24</v>
      </c>
      <c r="G1" s="58"/>
      <c r="H1" s="58"/>
      <c r="I1" s="58"/>
      <c r="J1" s="1"/>
      <c r="K1" s="57" t="s">
        <v>25</v>
      </c>
      <c r="L1" s="57"/>
      <c r="M1" s="57"/>
      <c r="N1" s="57"/>
    </row>
    <row r="2" spans="1:14" s="4" customFormat="1" ht="23.25">
      <c r="A2" s="52" t="s">
        <v>19</v>
      </c>
      <c r="B2" s="52"/>
      <c r="C2" s="52"/>
      <c r="D2" s="52"/>
      <c r="E2" s="3"/>
      <c r="F2" s="56" t="s">
        <v>32</v>
      </c>
      <c r="G2" s="57"/>
      <c r="H2" s="57"/>
      <c r="I2" s="57"/>
      <c r="J2" s="3"/>
      <c r="K2" s="59" t="s">
        <v>34</v>
      </c>
      <c r="L2" s="59"/>
      <c r="M2" s="59"/>
      <c r="N2" s="59"/>
    </row>
    <row r="3" spans="1:14" ht="21">
      <c r="A3" s="53" t="s">
        <v>27</v>
      </c>
      <c r="B3" s="53"/>
      <c r="C3" s="53"/>
      <c r="D3" s="53"/>
      <c r="E3" s="5"/>
      <c r="F3" s="48" t="s">
        <v>31</v>
      </c>
      <c r="G3" s="48"/>
      <c r="H3" s="48"/>
      <c r="I3" s="48"/>
      <c r="J3" s="6"/>
      <c r="K3" s="57" t="s">
        <v>35</v>
      </c>
      <c r="L3" s="57"/>
      <c r="M3" s="57"/>
      <c r="N3" s="57"/>
    </row>
    <row r="4" spans="1:14" ht="21">
      <c r="A4" s="54" t="s">
        <v>28</v>
      </c>
      <c r="B4" s="54"/>
      <c r="C4" s="54"/>
      <c r="D4" s="54"/>
      <c r="E4" s="8"/>
      <c r="F4" s="55" t="s">
        <v>29</v>
      </c>
      <c r="G4" s="55"/>
      <c r="H4" s="55"/>
      <c r="I4" s="55"/>
      <c r="J4" s="9"/>
      <c r="K4" s="60" t="s">
        <v>33</v>
      </c>
      <c r="L4" s="60"/>
      <c r="M4" s="60"/>
      <c r="N4" s="60"/>
    </row>
    <row r="5" spans="1:14" s="12" customFormat="1" ht="20.25" customHeight="1">
      <c r="A5" s="10"/>
      <c r="B5" s="10" t="s">
        <v>10</v>
      </c>
      <c r="C5" s="63" t="s">
        <v>16</v>
      </c>
      <c r="D5" s="64"/>
      <c r="E5" s="47"/>
      <c r="F5" s="11"/>
      <c r="G5" s="11" t="s">
        <v>10</v>
      </c>
      <c r="H5" s="65" t="s">
        <v>17</v>
      </c>
      <c r="I5" s="65"/>
      <c r="J5" s="42"/>
      <c r="K5" s="11"/>
      <c r="L5" s="11" t="s">
        <v>10</v>
      </c>
      <c r="M5" s="65" t="s">
        <v>15</v>
      </c>
      <c r="N5" s="65"/>
    </row>
    <row r="6" spans="1:14" s="4" customFormat="1" ht="22.5" customHeight="1">
      <c r="A6" s="32" t="s">
        <v>11</v>
      </c>
      <c r="B6" s="35" t="s">
        <v>12</v>
      </c>
      <c r="C6" s="11" t="s">
        <v>0</v>
      </c>
      <c r="D6" s="13"/>
      <c r="E6" s="47"/>
      <c r="F6" s="32" t="s">
        <v>11</v>
      </c>
      <c r="G6" s="41" t="s">
        <v>12</v>
      </c>
      <c r="H6" s="11" t="s">
        <v>0</v>
      </c>
      <c r="I6" s="13"/>
      <c r="J6" s="42"/>
      <c r="K6" s="32" t="s">
        <v>11</v>
      </c>
      <c r="L6" s="41" t="s">
        <v>12</v>
      </c>
      <c r="M6" s="11" t="s">
        <v>0</v>
      </c>
      <c r="N6" s="13"/>
    </row>
    <row r="7" spans="1:14" s="4" customFormat="1" ht="21">
      <c r="A7" s="33"/>
      <c r="B7" s="37"/>
      <c r="C7" s="11" t="s">
        <v>1</v>
      </c>
      <c r="D7" s="13"/>
      <c r="E7" s="47"/>
      <c r="F7" s="33"/>
      <c r="G7" s="41"/>
      <c r="H7" s="11" t="s">
        <v>1</v>
      </c>
      <c r="I7" s="13"/>
      <c r="J7" s="42"/>
      <c r="K7" s="33"/>
      <c r="L7" s="41"/>
      <c r="M7" s="11" t="s">
        <v>1</v>
      </c>
      <c r="N7" s="14"/>
    </row>
    <row r="8" spans="1:14" s="4" customFormat="1" ht="19.5" customHeight="1">
      <c r="A8" s="34"/>
      <c r="B8" s="36"/>
      <c r="C8" s="15" t="s">
        <v>2</v>
      </c>
      <c r="D8" s="61">
        <f>D7+D6</f>
        <v>0</v>
      </c>
      <c r="E8" s="47"/>
      <c r="F8" s="34"/>
      <c r="G8" s="41"/>
      <c r="H8" s="16" t="s">
        <v>2</v>
      </c>
      <c r="I8" s="61">
        <f>I7+I6</f>
        <v>0</v>
      </c>
      <c r="J8" s="42"/>
      <c r="K8" s="34"/>
      <c r="L8" s="41"/>
      <c r="M8" s="16" t="s">
        <v>2</v>
      </c>
      <c r="N8" s="61">
        <f>N7+N6</f>
        <v>0</v>
      </c>
    </row>
    <row r="9" spans="1:14" s="4" customFormat="1" ht="18.75" customHeight="1">
      <c r="A9" s="35" t="s">
        <v>13</v>
      </c>
      <c r="B9" s="35" t="s">
        <v>14</v>
      </c>
      <c r="C9" s="17" t="s">
        <v>4</v>
      </c>
      <c r="D9" s="62">
        <f>D8*2.57</f>
        <v>0</v>
      </c>
      <c r="E9" s="47"/>
      <c r="F9" s="41" t="s">
        <v>13</v>
      </c>
      <c r="G9" s="35" t="s">
        <v>14</v>
      </c>
      <c r="H9" s="11" t="s">
        <v>4</v>
      </c>
      <c r="I9" s="62">
        <f>I8*2.57</f>
        <v>0</v>
      </c>
      <c r="J9" s="42"/>
      <c r="K9" s="41" t="s">
        <v>13</v>
      </c>
      <c r="L9" s="35" t="s">
        <v>14</v>
      </c>
      <c r="M9" s="11" t="s">
        <v>4</v>
      </c>
      <c r="N9" s="62">
        <f>N8*2.57</f>
        <v>0</v>
      </c>
    </row>
    <row r="10" spans="1:14" s="4" customFormat="1" ht="18" customHeight="1">
      <c r="A10" s="36"/>
      <c r="B10" s="36"/>
      <c r="C10" s="17" t="s">
        <v>0</v>
      </c>
      <c r="D10" s="62" t="b">
        <f>IF(D9&gt;41500,"42700",IF(D9&gt;40300,"41500",IF(D9&gt;39100,"40300",IF(D9&gt;38000,"39100",IF(D9&gt;36900,"38000",IF(D9&gt;35800,"36900",IF(D9&gt;34800,"35800",IF(D9&gt;32100,"34800",IF(D9&gt;31200,"32100",IF(D9&gt;30300,"31200",IF(D9&gt;29400,"30300",IF(D9&gt;28500,"29400",IF(D9&gt;27700,"28500",IF(D9&gt;26900,"27700",IF(D9&gt;26100,"26900",IF(D9&gt;25300,"26100",IF(D9&gt;25280,"25300")))))))))))))))))</f>
        <v>0</v>
      </c>
      <c r="E10" s="47"/>
      <c r="F10" s="41"/>
      <c r="G10" s="37"/>
      <c r="H10" s="11" t="s">
        <v>0</v>
      </c>
      <c r="I10" s="62" t="b">
        <f>IF(I9&gt;47300,"48300",IF(I9&gt;45900,"47300",IF(I9&gt;44600,"45900",IF(I9&gt;43300,"44600",IF(I9&gt;42700,"43300",IF(I9&gt;41500,"42700",IF(I9&gt;40300,"41500",IF(I9&gt;39100,"40300",IF(I9&gt;38000,"39100",IF(I9&gt;36900,"38000",IF(I9&gt;35800,"36900",IF(I9&gt;34800,"35800",IF(I9&gt;33800,"34800",IF(I9&gt;32800,"33800",IF(I9&gt;32120,"32800")))))))))))))))</f>
        <v>0</v>
      </c>
      <c r="J10" s="42"/>
      <c r="K10" s="41"/>
      <c r="L10" s="37"/>
      <c r="M10" s="11" t="s">
        <v>0</v>
      </c>
      <c r="N10" s="62" t="b">
        <f>IF(N9&gt;55700,"57400",IF(N9&gt;54100,"55700",IF(N9&gt;52500,"54100",IF(N9&gt;51000,"52500",IF(N9&gt;49500,"51000",IF(N9&gt;48100,"49500",IF(N9&gt;47300,"48100",IF(N9&gt;45900,"47300",IF(N9&gt;44600,"45900",IF(N9&gt;43300,"44600",IF(N9&gt;42000,"43300",IF(N9&gt;40800,"42000",IF(N9&gt;39600,"40800",IF(N9&gt;38400,"39600",IF(N9&gt;37300,"38400",IF(N9&gt;36200,"37300",IF(N9&gt;35540,"36200")))))))))))))))))</f>
        <v>0</v>
      </c>
    </row>
    <row r="11" spans="1:14" s="4" customFormat="1" ht="20.25" customHeight="1">
      <c r="A11" s="41" t="s">
        <v>30</v>
      </c>
      <c r="B11" s="18" t="s">
        <v>0</v>
      </c>
      <c r="C11" s="19"/>
      <c r="D11" s="62">
        <f>ROUND(D10*1.03,-2)</f>
        <v>0</v>
      </c>
      <c r="E11" s="47"/>
      <c r="F11" s="41" t="s">
        <v>26</v>
      </c>
      <c r="G11" s="20" t="s">
        <v>0</v>
      </c>
      <c r="H11" s="11"/>
      <c r="I11" s="62">
        <f>ROUND(I10*1.03,-2)</f>
        <v>0</v>
      </c>
      <c r="J11" s="42"/>
      <c r="K11" s="41" t="s">
        <v>26</v>
      </c>
      <c r="L11" s="20" t="s">
        <v>0</v>
      </c>
      <c r="M11" s="19"/>
      <c r="N11" s="62">
        <f>ROUND(N10*1.03,-2)</f>
        <v>0</v>
      </c>
    </row>
    <row r="12" spans="1:14" s="4" customFormat="1" ht="21">
      <c r="A12" s="41"/>
      <c r="B12" s="20" t="s">
        <v>3</v>
      </c>
      <c r="C12" s="21"/>
      <c r="D12" s="62">
        <f>ROUND((D11*C12)/100,0)</f>
        <v>0</v>
      </c>
      <c r="E12" s="47"/>
      <c r="F12" s="41"/>
      <c r="G12" s="20" t="s">
        <v>3</v>
      </c>
      <c r="H12" s="21"/>
      <c r="I12" s="62">
        <f>ROUND((I11*H12)/100,0)</f>
        <v>0</v>
      </c>
      <c r="J12" s="42"/>
      <c r="K12" s="41"/>
      <c r="L12" s="20" t="s">
        <v>3</v>
      </c>
      <c r="M12" s="21"/>
      <c r="N12" s="62">
        <f>ROUND((N11*M12)/100,0)</f>
        <v>0</v>
      </c>
    </row>
    <row r="13" spans="1:14" s="4" customFormat="1" ht="21">
      <c r="A13" s="41"/>
      <c r="B13" s="38" t="s">
        <v>2</v>
      </c>
      <c r="C13" s="39"/>
      <c r="D13" s="61">
        <f>D12+D11</f>
        <v>0</v>
      </c>
      <c r="E13" s="47"/>
      <c r="F13" s="41"/>
      <c r="G13" s="38" t="s">
        <v>2</v>
      </c>
      <c r="H13" s="39"/>
      <c r="I13" s="61">
        <f>I12+I11</f>
        <v>0</v>
      </c>
      <c r="J13" s="42"/>
      <c r="K13" s="41"/>
      <c r="L13" s="38">
        <v>2</v>
      </c>
      <c r="M13" s="39"/>
      <c r="N13" s="61">
        <f>N12+N11</f>
        <v>0</v>
      </c>
    </row>
    <row r="14" spans="1:14" s="4" customFormat="1" ht="21">
      <c r="A14" s="41"/>
      <c r="B14" s="22" t="s">
        <v>8</v>
      </c>
      <c r="C14" s="49"/>
      <c r="D14" s="62">
        <f>ROUND((D8*C14)/100,0)</f>
        <v>0</v>
      </c>
      <c r="E14" s="47"/>
      <c r="F14" s="41"/>
      <c r="G14" s="22" t="s">
        <v>23</v>
      </c>
      <c r="H14" s="21"/>
      <c r="I14" s="62">
        <f>ROUND((I8*H14)/100,0)</f>
        <v>0</v>
      </c>
      <c r="J14" s="42"/>
      <c r="K14" s="41"/>
      <c r="L14" s="22" t="s">
        <v>8</v>
      </c>
      <c r="M14" s="21"/>
      <c r="N14" s="62">
        <f>ROUND((N8*M14)/100,0)</f>
        <v>0</v>
      </c>
    </row>
    <row r="15" spans="1:14" s="4" customFormat="1" ht="23.25" customHeight="1">
      <c r="A15" s="41"/>
      <c r="B15" s="22" t="s">
        <v>22</v>
      </c>
      <c r="C15" s="21"/>
      <c r="D15" s="62">
        <f>C15</f>
        <v>0</v>
      </c>
      <c r="E15" s="47"/>
      <c r="F15" s="41"/>
      <c r="G15" s="22" t="s">
        <v>22</v>
      </c>
      <c r="H15" s="21"/>
      <c r="I15" s="62">
        <f>H15</f>
        <v>0</v>
      </c>
      <c r="J15" s="42"/>
      <c r="K15" s="41"/>
      <c r="L15" s="22" t="s">
        <v>22</v>
      </c>
      <c r="M15" s="23"/>
      <c r="N15" s="62">
        <f>M15</f>
        <v>0</v>
      </c>
    </row>
    <row r="16" spans="1:14" s="4" customFormat="1" ht="21">
      <c r="A16" s="41"/>
      <c r="B16" s="43" t="s">
        <v>2</v>
      </c>
      <c r="C16" s="44"/>
      <c r="D16" s="61">
        <f>D14+D13+D15</f>
        <v>0</v>
      </c>
      <c r="E16" s="47"/>
      <c r="F16" s="41"/>
      <c r="G16" s="43" t="s">
        <v>2</v>
      </c>
      <c r="H16" s="44"/>
      <c r="I16" s="61">
        <f>I15+I14+I13</f>
        <v>0</v>
      </c>
      <c r="J16" s="42"/>
      <c r="K16" s="41"/>
      <c r="L16" s="43" t="s">
        <v>2</v>
      </c>
      <c r="M16" s="44"/>
      <c r="N16" s="61">
        <f>N15+N14+N13</f>
        <v>0</v>
      </c>
    </row>
    <row r="17" spans="1:14" s="4" customFormat="1" ht="21">
      <c r="A17" s="41" t="s">
        <v>5</v>
      </c>
      <c r="B17" s="40" t="s">
        <v>6</v>
      </c>
      <c r="C17" s="40"/>
      <c r="D17" s="62">
        <f>ROUND(D13/10,0)</f>
        <v>0</v>
      </c>
      <c r="E17" s="47"/>
      <c r="F17" s="41" t="s">
        <v>5</v>
      </c>
      <c r="G17" s="45" t="s">
        <v>6</v>
      </c>
      <c r="H17" s="46"/>
      <c r="I17" s="62">
        <f>ROUND(I13/10,0)</f>
        <v>0</v>
      </c>
      <c r="J17" s="42"/>
      <c r="K17" s="41" t="s">
        <v>5</v>
      </c>
      <c r="L17" s="40" t="s">
        <v>6</v>
      </c>
      <c r="M17" s="40"/>
      <c r="N17" s="62">
        <f>ROUND(N13/10,0)</f>
        <v>0</v>
      </c>
    </row>
    <row r="18" spans="1:14" s="4" customFormat="1" ht="21">
      <c r="A18" s="41"/>
      <c r="B18" s="40" t="s">
        <v>7</v>
      </c>
      <c r="C18" s="40"/>
      <c r="D18" s="62">
        <v>200</v>
      </c>
      <c r="E18" s="47"/>
      <c r="F18" s="41"/>
      <c r="G18" s="45" t="s">
        <v>7</v>
      </c>
      <c r="H18" s="46"/>
      <c r="I18" s="62">
        <v>200</v>
      </c>
      <c r="J18" s="42"/>
      <c r="K18" s="41"/>
      <c r="L18" s="40" t="s">
        <v>7</v>
      </c>
      <c r="M18" s="40"/>
      <c r="N18" s="62">
        <v>400</v>
      </c>
    </row>
    <row r="19" spans="1:14" s="4" customFormat="1" ht="21">
      <c r="A19" s="41"/>
      <c r="B19" s="10" t="s">
        <v>20</v>
      </c>
      <c r="C19" s="24"/>
      <c r="D19" s="62">
        <f>C19</f>
        <v>0</v>
      </c>
      <c r="E19" s="47"/>
      <c r="F19" s="41"/>
      <c r="G19" s="10" t="s">
        <v>20</v>
      </c>
      <c r="H19" s="24"/>
      <c r="I19" s="62">
        <f>H19</f>
        <v>0</v>
      </c>
      <c r="J19" s="42"/>
      <c r="K19" s="41"/>
      <c r="L19" s="10" t="s">
        <v>20</v>
      </c>
      <c r="M19" s="24"/>
      <c r="N19" s="62">
        <f>M19</f>
        <v>0</v>
      </c>
    </row>
    <row r="20" spans="1:14" s="4" customFormat="1" ht="21">
      <c r="A20" s="41"/>
      <c r="B20" s="10" t="s">
        <v>21</v>
      </c>
      <c r="C20" s="24"/>
      <c r="D20" s="62">
        <f>C20</f>
        <v>0</v>
      </c>
      <c r="E20" s="47"/>
      <c r="F20" s="41"/>
      <c r="G20" s="10" t="s">
        <v>21</v>
      </c>
      <c r="H20" s="24"/>
      <c r="I20" s="62">
        <f>H20</f>
        <v>0</v>
      </c>
      <c r="J20" s="42"/>
      <c r="K20" s="41"/>
      <c r="L20" s="10" t="s">
        <v>21</v>
      </c>
      <c r="M20" s="24"/>
      <c r="N20" s="62">
        <f>M20</f>
        <v>0</v>
      </c>
    </row>
    <row r="21" spans="1:14" s="4" customFormat="1" ht="21">
      <c r="A21" s="11"/>
      <c r="B21" s="30" t="s">
        <v>9</v>
      </c>
      <c r="C21" s="31"/>
      <c r="D21" s="61">
        <f>D16-(D17+D18+D19+D20)</f>
        <v>-200</v>
      </c>
      <c r="E21" s="47"/>
      <c r="F21" s="11"/>
      <c r="G21" s="30" t="s">
        <v>9</v>
      </c>
      <c r="H21" s="31"/>
      <c r="I21" s="61">
        <f>I16-(I17+I18+I19+I20)</f>
        <v>-200</v>
      </c>
      <c r="J21" s="42"/>
      <c r="K21" s="11"/>
      <c r="L21" s="30" t="s">
        <v>9</v>
      </c>
      <c r="M21" s="31"/>
      <c r="N21" s="61">
        <f>N16-(N17+N18+N19+N20)</f>
        <v>-400</v>
      </c>
    </row>
    <row r="22" spans="1:14" s="25" customFormat="1" ht="15.75">
      <c r="D22" s="26"/>
    </row>
    <row r="23" spans="1:14" s="25" customFormat="1" ht="15.75">
      <c r="D23" s="26"/>
    </row>
    <row r="24" spans="1:14" s="25" customFormat="1" ht="15.75"/>
    <row r="25" spans="1:14" s="25" customFormat="1" ht="15.75"/>
    <row r="26" spans="1:14" s="25" customFormat="1" ht="15.75"/>
    <row r="27" spans="1:14" s="25" customFormat="1" ht="15.75"/>
    <row r="28" spans="1:14" s="25" customFormat="1" ht="15.75"/>
    <row r="29" spans="1:14" s="25" customFormat="1" ht="15.75"/>
    <row r="30" spans="1:14" s="25" customFormat="1" ht="21" customHeight="1"/>
    <row r="31" spans="1:14" s="4" customFormat="1" ht="18.75"/>
    <row r="32" spans="1:14" s="4" customFormat="1" ht="18.75"/>
    <row r="33" spans="1:4" s="4" customFormat="1" ht="18.75"/>
    <row r="34" spans="1:4" s="4" customFormat="1" ht="25.5" customHeight="1"/>
    <row r="35" spans="1:4" s="4" customFormat="1" ht="18.75"/>
    <row r="36" spans="1:4" s="4" customFormat="1" ht="18.75"/>
    <row r="37" spans="1:4" s="4" customFormat="1" ht="18.75"/>
    <row r="38" spans="1:4" s="4" customFormat="1" ht="18.75"/>
    <row r="39" spans="1:4" s="4" customFormat="1" ht="18.75"/>
    <row r="40" spans="1:4" s="4" customFormat="1" ht="18.75"/>
    <row r="41" spans="1:4" s="4" customFormat="1" ht="21">
      <c r="A41" s="27"/>
      <c r="B41" s="27"/>
      <c r="C41" s="27"/>
      <c r="D41" s="28"/>
    </row>
    <row r="42" spans="1:4" s="4" customFormat="1" ht="21">
      <c r="A42" s="27"/>
      <c r="B42" s="27"/>
      <c r="C42" s="27"/>
      <c r="D42" s="28"/>
    </row>
    <row r="43" spans="1:4" s="4" customFormat="1" ht="18.75"/>
    <row r="44" spans="1:4" s="4" customFormat="1" ht="18.75"/>
    <row r="45" spans="1:4" s="4" customFormat="1" ht="18.75"/>
    <row r="46" spans="1:4" s="4" customFormat="1" ht="18.75"/>
    <row r="47" spans="1:4" s="4" customFormat="1" ht="18.75"/>
    <row r="48" spans="1:4" s="4" customFormat="1" ht="18.75"/>
    <row r="49" s="4" customFormat="1" ht="21" customHeight="1"/>
    <row r="50" s="4" customFormat="1" ht="18.75"/>
    <row r="51" s="4" customFormat="1" ht="18.75"/>
    <row r="52" s="4" customFormat="1" ht="18.75"/>
    <row r="53" s="4" customFormat="1" ht="18.75"/>
    <row r="54" s="4" customFormat="1" ht="18.75"/>
    <row r="55" s="4" customFormat="1" ht="18.75"/>
    <row r="56" s="4" customFormat="1" ht="18.75"/>
    <row r="57" s="4" customFormat="1" ht="18.75"/>
    <row r="58" s="4" customFormat="1" ht="18.75"/>
    <row r="59" s="4" customFormat="1" ht="18.75"/>
  </sheetData>
  <sheetProtection password="CC27" sheet="1" objects="1" scenarios="1"/>
  <mergeCells count="50">
    <mergeCell ref="F1:I1"/>
    <mergeCell ref="F2:I2"/>
    <mergeCell ref="K1:N1"/>
    <mergeCell ref="K2:N2"/>
    <mergeCell ref="K4:N4"/>
    <mergeCell ref="F6:F8"/>
    <mergeCell ref="F9:F10"/>
    <mergeCell ref="F3:I3"/>
    <mergeCell ref="F4:I4"/>
    <mergeCell ref="K3:N3"/>
    <mergeCell ref="E5:E21"/>
    <mergeCell ref="A1:D1"/>
    <mergeCell ref="A2:D2"/>
    <mergeCell ref="A3:D3"/>
    <mergeCell ref="A4:D4"/>
    <mergeCell ref="L13:M13"/>
    <mergeCell ref="G17:H17"/>
    <mergeCell ref="G18:H18"/>
    <mergeCell ref="F11:F16"/>
    <mergeCell ref="G16:H16"/>
    <mergeCell ref="G13:H13"/>
    <mergeCell ref="F17:F20"/>
    <mergeCell ref="G21:H21"/>
    <mergeCell ref="M5:N5"/>
    <mergeCell ref="K6:K8"/>
    <mergeCell ref="L6:L8"/>
    <mergeCell ref="H5:I5"/>
    <mergeCell ref="G6:G8"/>
    <mergeCell ref="G9:G10"/>
    <mergeCell ref="J5:J21"/>
    <mergeCell ref="K9:K10"/>
    <mergeCell ref="L9:L10"/>
    <mergeCell ref="L21:M21"/>
    <mergeCell ref="K17:K20"/>
    <mergeCell ref="L16:M16"/>
    <mergeCell ref="K11:K16"/>
    <mergeCell ref="L17:M17"/>
    <mergeCell ref="L18:M18"/>
    <mergeCell ref="B21:C21"/>
    <mergeCell ref="A6:A8"/>
    <mergeCell ref="A9:A10"/>
    <mergeCell ref="C5:D5"/>
    <mergeCell ref="B6:B8"/>
    <mergeCell ref="B9:B10"/>
    <mergeCell ref="B13:C13"/>
    <mergeCell ref="A17:A20"/>
    <mergeCell ref="A11:A16"/>
    <mergeCell ref="B17:C17"/>
    <mergeCell ref="B18:C18"/>
    <mergeCell ref="B16:C16"/>
  </mergeCells>
  <hyperlinks>
    <hyperlink ref="A1" r:id="rId1"/>
  </hyperlinks>
  <pageMargins left="0.7" right="0.7" top="0.75" bottom="0.75" header="0.3" footer="0.3"/>
  <pageSetup orientation="portrait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</dc:creator>
  <cp:lastModifiedBy>IND</cp:lastModifiedBy>
  <dcterms:created xsi:type="dcterms:W3CDTF">2019-10-12T03:54:20Z</dcterms:created>
  <dcterms:modified xsi:type="dcterms:W3CDTF">2019-11-24T01:41:26Z</dcterms:modified>
</cp:coreProperties>
</file>